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lanner" sheetId="2" state="visible" r:id="rId4"/>
    <sheet name="Checklist" sheetId="3" state="visible" r:id="rId5"/>
    <sheet name="UWorld" sheetId="4" state="visible" r:id="rId6"/>
    <sheet name="QID Refere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<sst xmlns="http://schemas.openxmlformats.org/spreadsheetml/2006/main" count="1135" uniqueCount="213">
  <si>
    <t xml:space="preserve">Endocrine Block — Progress Tracker</t>
  </si>
  <si>
    <t xml:space="preserve">Built from GUSOM-Endocrine-ProgressTracker.html — Upload to Google Sheets to keep using formulas.</t>
  </si>
  <si>
    <t xml:space="preserve">How to use</t>
  </si>
  <si>
    <t xml:space="preserve">Checklist Progress</t>
  </si>
  <si>
    <t xml:space="preserve">Lectures Planned</t>
  </si>
  <si>
    <t xml:space="preserve">3rd-Party Selections</t>
  </si>
  <si>
    <t xml:space="preserve">UWorld Progress</t>
  </si>
  <si>
    <t xml:space="preserve">1) Use the Planner tab to choose LEC plus up to 2 third-party resources per lecture.</t>
  </si>
  <si>
    <t xml:space="preserve">2) Mark Done? on the Checklist tab for tasks you complete.</t>
  </si>
  <si>
    <t xml:space="preserve">3) Enter UWorld progress on the UWorld tab.</t>
  </si>
  <si>
    <t xml:space="preserve">4) Filter Study Order to Included? = TRUE for your active queue.</t>
  </si>
  <si>
    <t xml:space="preserve">Date</t>
  </si>
  <si>
    <t xml:space="preserve">Subject</t>
  </si>
  <si>
    <t xml:space="preserve">Lecture</t>
  </si>
  <si>
    <t xml:space="preserve">Planner Status</t>
  </si>
  <si>
    <t xml:space="preserve">Est. Time (min)</t>
  </si>
  <si>
    <t xml:space="preserve">Checklist %</t>
  </si>
  <si>
    <t xml:space="preserve">UWorld Assigned</t>
  </si>
  <si>
    <t xml:space="preserve">UWorld Done</t>
  </si>
  <si>
    <t xml:space="preserve">Biochem</t>
  </si>
  <si>
    <t xml:space="preserve">Introduction to Hormones</t>
  </si>
  <si>
    <t xml:space="preserve">Phys</t>
  </si>
  <si>
    <t xml:space="preserve">Hypothalamic Pituitary Relationships I</t>
  </si>
  <si>
    <t xml:space="preserve">Adrenal Hormone Synthesis and Action</t>
  </si>
  <si>
    <t xml:space="preserve">Sex Steroid Synthesis and Action</t>
  </si>
  <si>
    <t xml:space="preserve">Hypothalamic Pituitary Relationships II</t>
  </si>
  <si>
    <t xml:space="preserve">Posterior Pituitary Hormones</t>
  </si>
  <si>
    <t xml:space="preserve">Path</t>
  </si>
  <si>
    <t xml:space="preserve">Pituitary Pathology</t>
  </si>
  <si>
    <t xml:space="preserve">Pharm</t>
  </si>
  <si>
    <t xml:space="preserve">Diagnosis &amp; Treatment of Pituitary Disorders</t>
  </si>
  <si>
    <t xml:space="preserve">Hypothalamic-Pituitary-GH Axis</t>
  </si>
  <si>
    <t xml:space="preserve">Thyroid Hormone Synthesis and Action</t>
  </si>
  <si>
    <t xml:space="preserve">Hist</t>
  </si>
  <si>
    <t xml:space="preserve">Thyroid, Parathyroid &amp; Adrenal Histology</t>
  </si>
  <si>
    <t xml:space="preserve">Hypothalamic-Pituitary-Thyroid Axis (TBL)</t>
  </si>
  <si>
    <t xml:space="preserve">Thyroid &amp; Parathyroid Pathology</t>
  </si>
  <si>
    <t xml:space="preserve">Diagnosis &amp; Treatment of Thyroid Disorders</t>
  </si>
  <si>
    <t xml:space="preserve">Hypothalamic-Pituitary-Adrenal Axis</t>
  </si>
  <si>
    <t xml:space="preserve">Pathophysiology of Diabetes Mellitus</t>
  </si>
  <si>
    <t xml:space="preserve">Diabetes Type 1 — Diagnosis &amp; Treatment</t>
  </si>
  <si>
    <t xml:space="preserve">Diabetes Type 2 — Diagnosis &amp; Treatment</t>
  </si>
  <si>
    <t xml:space="preserve">Adrenal Pathology</t>
  </si>
  <si>
    <t xml:space="preserve">Diagnosis &amp; Treatment of Adrenal Disorders</t>
  </si>
  <si>
    <t xml:space="preserve">Case Discussion: Pituitary &amp; Thyroid</t>
  </si>
  <si>
    <t xml:space="preserve">Stress, Stress Hormones &amp; Pathophysiology</t>
  </si>
  <si>
    <t xml:space="preserve">Endocrine Lab</t>
  </si>
  <si>
    <t xml:space="preserve">Diabetes Clinical Cases</t>
  </si>
  <si>
    <t xml:space="preserve">TBL — Pituitary &amp; Thyroid Disorders</t>
  </si>
  <si>
    <t xml:space="preserve">Planner</t>
  </si>
  <si>
    <t xml:space="preserve">Choose LEC plus up to 2 third-party resources per lecture. Progress updates everywhere else automatically.</t>
  </si>
  <si>
    <t xml:space="preserve">Include LEC?</t>
  </si>
  <si>
    <t xml:space="preserve">Resource 1</t>
  </si>
  <si>
    <t xml:space="preserve">Resource 2</t>
  </si>
  <si>
    <t xml:space="preserve">Status</t>
  </si>
  <si>
    <t xml:space="preserve">Notes</t>
  </si>
  <si>
    <t xml:space="preserve">Est. Total Min</t>
  </si>
  <si>
    <t xml:space="preserve">Checklist Done</t>
  </si>
  <si>
    <t xml:space="preserve">Checklist Total</t>
  </si>
  <si>
    <t xml:space="preserve">Progress %</t>
  </si>
  <si>
    <t xml:space="preserve">Available 3rd-Party Resources</t>
  </si>
  <si>
    <t xml:space="preserve">No</t>
  </si>
  <si>
    <t xml:space="preserve">Not Started</t>
  </si>
  <si>
    <t xml:space="preserve">Bootcamp, Boards &amp; Beyond</t>
  </si>
  <si>
    <t xml:space="preserve">Bootcamp, Boards &amp; Beyond, Sketchy Pharm, Sketchy Path</t>
  </si>
  <si>
    <t xml:space="preserve">Bootcamp, Boards &amp; Beyond, Sketchy Path</t>
  </si>
  <si>
    <t xml:space="preserve">Bootcamp, Boards &amp; Beyond, Sketchy Pharm</t>
  </si>
  <si>
    <t xml:space="preserve">Bootcamp, Pathoma, Boards &amp; Beyond, Sketchy Path</t>
  </si>
  <si>
    <t xml:space="preserve">Bootcamp, Pathoma, Boards &amp; Beyond, Sketchy Pharm, Sketchy Path</t>
  </si>
  <si>
    <t xml:space="preserve">Bootcamp, Pathoma, Sketchy Path</t>
  </si>
  <si>
    <t xml:space="preserve">Checklist</t>
  </si>
  <si>
    <t xml:space="preserve">Mark Done? = TRUE as you complete tasks. Included? updates automatically from the Planner tab.</t>
  </si>
  <si>
    <t xml:space="preserve">Sort</t>
  </si>
  <si>
    <t xml:space="preserve">Item Type</t>
  </si>
  <si>
    <t xml:space="preserve">Task / Resource</t>
  </si>
  <si>
    <t xml:space="preserve">Est. Min</t>
  </si>
  <si>
    <t xml:space="preserve">Included?</t>
  </si>
  <si>
    <t xml:space="preserve">Done?</t>
  </si>
  <si>
    <t xml:space="preserve">MNTS</t>
  </si>
  <si>
    <t xml:space="preserve">Reviewed MNTS</t>
  </si>
  <si>
    <t xml:space="preserve">LEC</t>
  </si>
  <si>
    <t xml:space="preserve">Lecture Notes</t>
  </si>
  <si>
    <t xml:space="preserve">Bootcamp</t>
  </si>
  <si>
    <t xml:space="preserve">Fundamental Principles of Endocrinology (Ch. 1)</t>
  </si>
  <si>
    <t xml:space="preserve">Boards &amp; Beyond</t>
  </si>
  <si>
    <t xml:space="preserve">Pituitary Gland (Ch. 5)</t>
  </si>
  <si>
    <t xml:space="preserve">Sketchy Path</t>
  </si>
  <si>
    <t xml:space="preserve">Pituitary Dysfunction: Etiologies — “Million Dollar Pituitary”</t>
  </si>
  <si>
    <t xml:space="preserve">Pituitary Dysfunction: Clinical — “Rocky Pituitary”</t>
  </si>
  <si>
    <t xml:space="preserve">Adrenal Glands (Ch. 6)</t>
  </si>
  <si>
    <t xml:space="preserve">Adrenals (Ch. 2)</t>
  </si>
  <si>
    <t xml:space="preserve">Adrenal Insufficiency — “Hollywood Hypofunction”</t>
  </si>
  <si>
    <t xml:space="preserve">CAH — “Thank you Desmond, but our cortisol is in another adrenal!”</t>
  </si>
  <si>
    <t xml:space="preserve">Reproductive Hormones (Ch. 4)</t>
  </si>
  <si>
    <t xml:space="preserve">Hypothalamus &amp; Pituitary (Ch. 2–3)</t>
  </si>
  <si>
    <t xml:space="preserve">Sketchy Pharm</t>
  </si>
  <si>
    <t xml:space="preserve">ADH, DDAVP, ADH Antagonists — “Water Hazard”</t>
  </si>
  <si>
    <t xml:space="preserve">GH, Octreotide, Pegvisomant — “Jak Stat and the Beanstalk”</t>
  </si>
  <si>
    <t xml:space="preserve">Diabetes Insipidus &amp; SIADH — “Acqua Gialla Della Vita”</t>
  </si>
  <si>
    <t xml:space="preserve">Pathoma</t>
  </si>
  <si>
    <t xml:space="preserve">Anterior &amp; Posterior Pituitary (15.1–15.2)</t>
  </si>
  <si>
    <t xml:space="preserve">Thyroid Gland (Ch. 4)</t>
  </si>
  <si>
    <t xml:space="preserve">Thyroid (Ch. 1)</t>
  </si>
  <si>
    <t xml:space="preserve">Hypothyroidism &amp; Hashimoto’s — “Dr. No Thyroid”</t>
  </si>
  <si>
    <t xml:space="preserve">Thyroid Nodules &amp; Cancer — “The Man with the Golden Nodule”</t>
  </si>
  <si>
    <t xml:space="preserve">Parathyroid Glands (Ch. 5)</t>
  </si>
  <si>
    <t xml:space="preserve">Parathyroid Gland (Ch. 1)</t>
  </si>
  <si>
    <t xml:space="preserve">Thyroid Gland &amp; Thyroiditis (15.3, 15.6)</t>
  </si>
  <si>
    <t xml:space="preserve">Thyroid Neoplasia (15.7)</t>
  </si>
  <si>
    <t xml:space="preserve">Parathyroid Gland (15.8)</t>
  </si>
  <si>
    <t xml:space="preserve">PTU, Methimazole, Levothyroxine — “Iodine is Forever”</t>
  </si>
  <si>
    <t xml:space="preserve">Bisphosphonates, Raloxifene, Denosumab — “Natural History of Osteoporosis”</t>
  </si>
  <si>
    <t xml:space="preserve">Teriparatide, Vitamin D, Cinacalcet — “PthD in Paleontology”</t>
  </si>
  <si>
    <t xml:space="preserve">Parathyroid Disorders — “Calci-YUM Stone Creamery”</t>
  </si>
  <si>
    <t xml:space="preserve">MEN — “Men in Slacks”</t>
  </si>
  <si>
    <t xml:space="preserve">Endocrine Pancreas (Ch. 7)</t>
  </si>
  <si>
    <t xml:space="preserve">Endocrine Pancreas &amp; Diabetes (Ch. 3)</t>
  </si>
  <si>
    <t xml:space="preserve">Endocrine Pancreas (15.9)</t>
  </si>
  <si>
    <t xml:space="preserve">Diabetes Mellitus: Pathogenesis — “Candy Rush”</t>
  </si>
  <si>
    <t xml:space="preserve">Diabetes Mellitus: Complications — “Blood, Sweets, and Tears”</t>
  </si>
  <si>
    <t xml:space="preserve">Insulin, Sulfonylureas, GLP-1, DPP-4 — “Langerhansel and Gretel”</t>
  </si>
  <si>
    <t xml:space="preserve">Metformin, TZDs, Pramlintide, SGLT2 — “Rosiglitazones are Red…”</t>
  </si>
  <si>
    <t xml:space="preserve">Adrenal Cortex (15.10)</t>
  </si>
  <si>
    <t xml:space="preserve">Glucocorticoids — “The Court of Sone Henge”</t>
  </si>
  <si>
    <t xml:space="preserve">Adrenal Medulla (15.11)</t>
  </si>
  <si>
    <t xml:space="preserve">UWorld</t>
  </si>
  <si>
    <t xml:space="preserve">Enter question progress by lecture. Assigned counts are pre-filled from the HTML tracker.</t>
  </si>
  <si>
    <t xml:space="preserve">Lecture ID</t>
  </si>
  <si>
    <t xml:space="preserve">Assigned Qs</t>
  </si>
  <si>
    <t xml:space="preserve">Done Qs</t>
  </si>
  <si>
    <t xml:space="preserve">% Complete</t>
  </si>
  <si>
    <t xml:space="preserve">% Correct</t>
  </si>
  <si>
    <t xml:space="preserve">pl1</t>
  </si>
  <si>
    <t xml:space="preserve">pl2</t>
  </si>
  <si>
    <t xml:space="preserve">pl3</t>
  </si>
  <si>
    <t xml:space="preserve">pl4</t>
  </si>
  <si>
    <t xml:space="preserve">pl5</t>
  </si>
  <si>
    <t xml:space="preserve">pl6</t>
  </si>
  <si>
    <t xml:space="preserve">pl7</t>
  </si>
  <si>
    <t xml:space="preserve">pl8</t>
  </si>
  <si>
    <t xml:space="preserve">pl9</t>
  </si>
  <si>
    <t xml:space="preserve">pl10</t>
  </si>
  <si>
    <t xml:space="preserve">pl11</t>
  </si>
  <si>
    <t xml:space="preserve">pl12</t>
  </si>
  <si>
    <t xml:space="preserve">pl13</t>
  </si>
  <si>
    <t xml:space="preserve">pl14</t>
  </si>
  <si>
    <t xml:space="preserve">pl15</t>
  </si>
  <si>
    <t xml:space="preserve">pl16</t>
  </si>
  <si>
    <t xml:space="preserve">pl17</t>
  </si>
  <si>
    <t xml:space="preserve">pl18</t>
  </si>
  <si>
    <t xml:space="preserve">pl19</t>
  </si>
  <si>
    <t xml:space="preserve">pl20</t>
  </si>
  <si>
    <t xml:space="preserve">pl21</t>
  </si>
  <si>
    <t xml:space="preserve">pl22</t>
  </si>
  <si>
    <t xml:space="preserve">pl23</t>
  </si>
  <si>
    <t xml:space="preserve">pl24</t>
  </si>
  <si>
    <t xml:space="preserve">pl25</t>
  </si>
  <si>
    <t xml:space="preserve">TOTAL</t>
  </si>
  <si>
    <t xml:space="preserve">QID Reference</t>
  </si>
  <si>
    <t xml:space="preserve">Subtopic-level UWorld question IDs from the HTML tracker.</t>
  </si>
  <si>
    <t xml:space="preserve">Section</t>
  </si>
  <si>
    <t xml:space="preserve">Subtopic</t>
  </si>
  <si>
    <t xml:space="preserve">Question Count</t>
  </si>
  <si>
    <t xml:space="preserve">QIDs</t>
  </si>
  <si>
    <t xml:space="preserve">Color Tag</t>
  </si>
  <si>
    <t xml:space="preserve">Pituitary</t>
  </si>
  <si>
    <t xml:space="preserve">Pituitary Gland</t>
  </si>
  <si>
    <t xml:space="preserve">8702, 15303, 1152, 18948, 224, 15209, 1561, 18553, 214, 213, 1379, 225, 210, 206, 20588, 7670, 7671</t>
  </si>
  <si>
    <t xml:space="preserve">#9333ea</t>
  </si>
  <si>
    <t xml:space="preserve">Thyroid &amp; Parathyroid</t>
  </si>
  <si>
    <t xml:space="preserve">Thyroid Gland</t>
  </si>
  <si>
    <t xml:space="preserve">1213, 19754, 15028, 1407, 19752, 772, 1615, 770, 14985, 20168, 763, 19746, 767, 19753, 626</t>
  </si>
  <si>
    <t xml:space="preserve">#2563eb</t>
  </si>
  <si>
    <t xml:space="preserve">Thyroid Disorders</t>
  </si>
  <si>
    <t xml:space="preserve">768, 14953, 20375, 983, 764, 769, 19747, 19946, 20146, 622, 14951, 1945, 19745, 12512</t>
  </si>
  <si>
    <t xml:space="preserve">Thyroid Cancer</t>
  </si>
  <si>
    <t xml:space="preserve">17236, 1747</t>
  </si>
  <si>
    <t xml:space="preserve">Parathyroid Glands</t>
  </si>
  <si>
    <t xml:space="preserve">641, 15270, 15289, 18863, 631, 11977, 795, 19947, 992, 15291, 640, 1686, 11660, 22188, 543, 979, 978, 15280</t>
  </si>
  <si>
    <t xml:space="preserve">Adrenal</t>
  </si>
  <si>
    <t xml:space="preserve">Adrenal Glands</t>
  </si>
  <si>
    <t xml:space="preserve">21524, 549, 8424, 18801, 687, 18803, 1773, 17247, 19975, 14899, 989, 608, 609</t>
  </si>
  <si>
    <t xml:space="preserve">#dc2626</t>
  </si>
  <si>
    <t xml:space="preserve">Congenital Adrenal Hyperplasia</t>
  </si>
  <si>
    <t xml:space="preserve">2080, 2081, 924, 19030, 610, 930</t>
  </si>
  <si>
    <t xml:space="preserve">Adrenal Disorders</t>
  </si>
  <si>
    <t xml:space="preserve">1263, 17246, 454, 928, 295, 1921, 931, 927, 152, 932</t>
  </si>
  <si>
    <t xml:space="preserve">Diabetes &amp; Glucose</t>
  </si>
  <si>
    <t xml:space="preserve">Endocrine Pancreas</t>
  </si>
  <si>
    <t xml:space="preserve">1768, 15881, 585, 1121</t>
  </si>
  <si>
    <t xml:space="preserve">#ea6c0a</t>
  </si>
  <si>
    <t xml:space="preserve">Diabetes</t>
  </si>
  <si>
    <t xml:space="preserve">846, 1913, 848, 11040, 1012, 107, 985, 1011, 1996, 15675, 106, 15668, 18951, 1059, 921, 19407, 15652</t>
  </si>
  <si>
    <t xml:space="preserve">Insulin</t>
  </si>
  <si>
    <t xml:space="preserve">600, 15876, 850, 1324</t>
  </si>
  <si>
    <t xml:space="preserve">Treatment of Diabetes</t>
  </si>
  <si>
    <t xml:space="preserve">920, 6772, 11565, 18952, 18956, 18457, 16324, 15770, 15308, 18958, 1984, 14136, 8531, 607, 606, 1655, 604</t>
  </si>
  <si>
    <t xml:space="preserve">Sex Hormones / Gonads</t>
  </si>
  <si>
    <t xml:space="preserve">Reproductive Hormones</t>
  </si>
  <si>
    <t xml:space="preserve">14952, 879, 954, 656, 19007, 208, 7606, 209, 216, 19189, 1560, 100, 207, 217, 579</t>
  </si>
  <si>
    <t xml:space="preserve">#059669</t>
  </si>
  <si>
    <t xml:space="preserve">Male Reproductive</t>
  </si>
  <si>
    <t xml:space="preserve">1725, 658, 107781, 19000, 16236, 1726, 8930, 13776, 11920, 1449</t>
  </si>
  <si>
    <t xml:space="preserve">Female Reproductive</t>
  </si>
  <si>
    <t xml:space="preserve">18747, 1899, 577, 18654, 12512</t>
  </si>
  <si>
    <t xml:space="preserve">Menstrual Cycle</t>
  </si>
  <si>
    <t xml:space="preserve">1917, 1839, 1809, 925, 218, 215, 21791, 1986</t>
  </si>
  <si>
    <t xml:space="preserve">Misc. Endocrine</t>
  </si>
  <si>
    <t xml:space="preserve">MEN Syndromes</t>
  </si>
  <si>
    <t xml:space="preserve">15105, 988, 1658, 1844, 1660, 1845, 1659</t>
  </si>
  <si>
    <t xml:space="preserve">#d97706</t>
  </si>
  <si>
    <t xml:space="preserve">Signaling Pathways</t>
  </si>
  <si>
    <t xml:space="preserve">1720, 143, 995, 1122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</si>
</sst>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mm/dd/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44546A"/>
      <name val="Calibri"/>
      <family val="0"/>
      <charset val="1"/>
    </font>
    <font>
      <b val="true"/>
      <sz val="11"/>
      <color rgb="FF163A63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4"/>
      <name val="Calibri"/>
      <family val="0"/>
      <charset val="1"/>
    </font>
    <font>
      <sz val="10"/>
      <color rgb="FF44546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F2747"/>
        <bgColor rgb="FF163A63"/>
      </patternFill>
    </fill>
    <fill>
      <patternFill patternType="solid">
        <fgColor rgb="FFEAF1FB"/>
        <bgColor rgb="FFF5F7FC"/>
      </patternFill>
    </fill>
    <fill>
      <patternFill patternType="solid">
        <fgColor rgb="FFEFE3FF"/>
        <bgColor rgb="FFEAF1FB"/>
      </patternFill>
    </fill>
    <fill>
      <patternFill patternType="solid">
        <fgColor rgb="FFD9EAF7"/>
        <bgColor rgb="FFEAF1FB"/>
      </patternFill>
    </fill>
    <fill>
      <patternFill patternType="solid">
        <fgColor rgb="FF7C3AED"/>
        <bgColor rgb="FF9333EA"/>
      </patternFill>
    </fill>
    <fill>
      <patternFill patternType="solid">
        <fgColor rgb="FFF5F7FC"/>
        <bgColor rgb="FFEAF1FB"/>
      </patternFill>
    </fill>
    <fill>
      <patternFill patternType="solid">
        <fgColor rgb="FF2563EB"/>
        <bgColor rgb="FF0066CC"/>
      </patternFill>
    </fill>
    <fill>
      <patternFill patternType="solid">
        <fgColor rgb="FFDC2626"/>
        <bgColor rgb="FF993300"/>
      </patternFill>
    </fill>
    <fill>
      <patternFill patternType="solid">
        <fgColor rgb="FF059669"/>
        <bgColor rgb="FF008080"/>
      </patternFill>
    </fill>
    <fill>
      <patternFill patternType="solid">
        <fgColor rgb="FFD97706"/>
        <bgColor rgb="FFEA6C0A"/>
      </patternFill>
    </fill>
    <fill>
      <patternFill patternType="solid">
        <fgColor rgb="FFFEF3C7"/>
        <bgColor rgb="FFFFFF99"/>
      </patternFill>
    </fill>
    <fill>
      <patternFill patternType="solid">
        <fgColor rgb="FF9333EA"/>
        <bgColor rgb="FF7C3AED"/>
      </patternFill>
    </fill>
    <fill>
      <patternFill patternType="solid">
        <fgColor rgb="FFEA6C0A"/>
        <bgColor rgb="FFD9770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333EA"/>
      <rgbColor rgb="FFFEF3C7"/>
      <rgbColor rgb="FFD9EAF7"/>
      <rgbColor rgb="FF660066"/>
      <rgbColor rgb="FFFF8080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F5F7FC"/>
      <rgbColor rgb="FFFFFF99"/>
      <rgbColor rgb="FF99CCFF"/>
      <rgbColor rgb="FFFF99CC"/>
      <rgbColor rgb="FFCC99FF"/>
      <rgbColor rgb="FFEFE3FF"/>
      <rgbColor rgb="FF2563EB"/>
      <rgbColor rgb="FF33CCCC"/>
      <rgbColor rgb="FF99CC00"/>
      <rgbColor rgb="FFFFCC00"/>
      <rgbColor rgb="FFD97706"/>
      <rgbColor rgb="FFEA6C0A"/>
      <rgbColor rgb="FF666666"/>
      <rgbColor rgb="FF969696"/>
      <rgbColor rgb="FF163A63"/>
      <rgbColor rgb="FF339966"/>
      <rgbColor rgb="FF003300"/>
      <rgbColor rgb="FF333300"/>
      <rgbColor rgb="FF993300"/>
      <rgbColor rgb="FF7C3AED"/>
      <rgbColor rgb="FF44546A"/>
      <rgbColor rgb="FF0F2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3"/>
    <col collapsed="false" customWidth="true" hidden="false" outlineLevel="0" max="11" min="11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15" hidden="false" customHeight="false" outlineLevel="0" collapsed="false">
      <c r="A4" s="3" t="s">
        <v>2</v>
      </c>
      <c r="B4" s="4" t="s">
        <v>3</v>
      </c>
      <c r="E4" s="4" t="s">
        <v>4</v>
      </c>
      <c r="H4" s="4" t="s">
        <v>5</v>
      </c>
      <c r="K4" s="4" t="s">
        <v>6</v>
      </c>
    </row>
    <row r="5" customFormat="false" ht="18" hidden="false" customHeight="true" outlineLevel="0" collapsed="false">
      <c r="A5" s="5" t="s">
        <v>7</v>
      </c>
      <c r="B5" s="6" t="n">
        <f aca="false">IFERROR(COUNTIFS(Checklist!$I$5:$I$191,TRUE(),Checklist!$H$5:$H$191,TRUE())/COUNTIF(Checklist!$H$5:$H$191,TRUE()),0)</f>
        <v>0</v>
      </c>
      <c r="E5" s="7" t="n">
        <f aca="false">COUNTIF(Planner!$D$5:$D$29,"Yes")</f>
        <v>0</v>
      </c>
      <c r="H5" s="7" t="n">
        <f aca="false">COUNTA(Planner!$E$5:$F$29)</f>
        <v>0</v>
      </c>
      <c r="K5" s="6" t="n">
        <f aca="false">IFERROR(SUM(UWorld!$F$5:$F$29)/SUM(UWorld!$E$5:$E$29),0)</f>
        <v>0</v>
      </c>
    </row>
    <row r="6" customFormat="false" ht="18" hidden="false" customHeight="true" outlineLevel="0" collapsed="false">
      <c r="A6" s="5" t="s">
        <v>8</v>
      </c>
      <c r="B6" s="8" t="str">
        <f aca="false">COUNTIFS(Checklist!$H$5:$H$191,TRUE(),Checklist!$I$5:$I$191,TRUE())&amp;" done / "&amp;COUNTIF(Checklist!$H$5:$H$191,TRUE())&amp;" included"</f>
        <v>0 done / 25 included</v>
      </c>
      <c r="E6" s="8" t="str">
        <f aca="false">COUNTIF(Planner!$D$5:$D$29,"Yes")&amp;" of 25 lectures"</f>
        <v>0 of 25 lectures</v>
      </c>
      <c r="H6" s="8" t="str">
        <f aca="false">COUNTA(Planner!$E$5:$F$29)&amp;" resource slots filled"</f>
        <v>0 resource slots filled</v>
      </c>
      <c r="K6" s="8" t="str">
        <f aca="false">SUM(UWorld!$F$5:$F$29)&amp;" done / "&amp;SUM(UWorld!$E$5:$E$29)&amp;" assigned"</f>
        <v>0 done / 392 assigned</v>
      </c>
    </row>
    <row r="7" customFormat="false" ht="18" hidden="false" customHeight="true" outlineLevel="0" collapsed="false">
      <c r="A7" s="5" t="s">
        <v>9</v>
      </c>
    </row>
    <row r="8" customFormat="false" ht="18" hidden="false" customHeight="true" outlineLevel="0" collapsed="false">
      <c r="A8" s="5" t="s">
        <v>10</v>
      </c>
    </row>
    <row r="9" customFormat="false" ht="7.5" hidden="false" customHeight="true" outlineLevel="0" collapsed="false"/>
    <row r="10" customFormat="false" ht="15" hidden="false" customHeight="false" outlineLevel="0" collapsed="false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</row>
    <row r="11" customFormat="false" ht="15" hidden="false" customHeight="false" outlineLevel="0" collapsed="false">
      <c r="A11" s="10" t="n">
        <v>46132</v>
      </c>
      <c r="B11" s="11" t="s">
        <v>19</v>
      </c>
      <c r="C11" s="12" t="s">
        <v>20</v>
      </c>
      <c r="D11" s="13" t="str">
        <f aca="false">Planner!G5</f>
        <v>Not Started</v>
      </c>
      <c r="E11" s="13" t="n">
        <f aca="false">SUMPRODUCT(--(Checklist!$H$5:$H$8=TRUE()),Checklist!$G$5:$G$8)</f>
        <v>15</v>
      </c>
      <c r="F11" s="14" t="n">
        <f aca="false">IFERROR(COUNTIFS(Checklist!$I$5:$I$8,TRUE(),Checklist!$H$5:$H$8,TRUE())/COUNTIF(Checklist!$H$5:$H$8,TRUE()),0)</f>
        <v>0</v>
      </c>
      <c r="G11" s="13" t="n">
        <f aca="false">UWorld!E5</f>
        <v>42</v>
      </c>
      <c r="H11" s="13" t="n">
        <f aca="false">UWorld!F5</f>
        <v>0</v>
      </c>
    </row>
    <row r="12" customFormat="false" ht="15" hidden="false" customHeight="false" outlineLevel="0" collapsed="false">
      <c r="A12" s="15" t="n">
        <v>46132</v>
      </c>
      <c r="B12" s="16" t="s">
        <v>21</v>
      </c>
      <c r="C12" s="17" t="s">
        <v>22</v>
      </c>
      <c r="D12" s="18" t="str">
        <f aca="false">Planner!G6</f>
        <v>Not Started</v>
      </c>
      <c r="E12" s="18" t="n">
        <f aca="false">SUMPRODUCT(--(Checklist!$H$9:$H$14=TRUE()),Checklist!$G$9:$G$14)</f>
        <v>15</v>
      </c>
      <c r="F12" s="19" t="n">
        <f aca="false">IFERROR(COUNTIFS(Checklist!$I$9:$I$14,TRUE(),Checklist!$H$9:$H$14,TRUE())/COUNTIF(Checklist!$H$9:$H$14,TRUE()),0)</f>
        <v>0</v>
      </c>
      <c r="G12" s="18" t="n">
        <f aca="false">UWorld!E6</f>
        <v>4</v>
      </c>
      <c r="H12" s="18" t="n">
        <f aca="false">UWorld!F6</f>
        <v>0</v>
      </c>
    </row>
    <row r="13" customFormat="false" ht="15" hidden="false" customHeight="false" outlineLevel="0" collapsed="false">
      <c r="A13" s="10" t="n">
        <v>46135</v>
      </c>
      <c r="B13" s="11" t="s">
        <v>19</v>
      </c>
      <c r="C13" s="12" t="s">
        <v>23</v>
      </c>
      <c r="D13" s="13" t="str">
        <f aca="false">Planner!G7</f>
        <v>Not Started</v>
      </c>
      <c r="E13" s="13" t="n">
        <f aca="false">SUMPRODUCT(--(Checklist!$H$15:$H$20=TRUE()),Checklist!$G$15:$G$20)</f>
        <v>15</v>
      </c>
      <c r="F13" s="14" t="n">
        <f aca="false">IFERROR(COUNTIFS(Checklist!$I$15:$I$20,TRUE(),Checklist!$H$15:$H$20,TRUE())/COUNTIF(Checklist!$H$15:$H$20,TRUE()),0)</f>
        <v>0</v>
      </c>
      <c r="G13" s="13" t="n">
        <f aca="false">UWorld!E7</f>
        <v>11</v>
      </c>
      <c r="H13" s="13" t="n">
        <f aca="false">UWorld!F7</f>
        <v>0</v>
      </c>
    </row>
    <row r="14" customFormat="false" ht="15" hidden="false" customHeight="false" outlineLevel="0" collapsed="false">
      <c r="A14" s="15" t="n">
        <v>46135</v>
      </c>
      <c r="B14" s="11" t="s">
        <v>19</v>
      </c>
      <c r="C14" s="17" t="s">
        <v>24</v>
      </c>
      <c r="D14" s="18" t="str">
        <f aca="false">Planner!G8</f>
        <v>Not Started</v>
      </c>
      <c r="E14" s="18" t="n">
        <f aca="false">SUMPRODUCT(--(Checklist!$H$21:$H$25=TRUE()),Checklist!$G$21:$G$25)</f>
        <v>15</v>
      </c>
      <c r="F14" s="19" t="n">
        <f aca="false">IFERROR(COUNTIFS(Checklist!$I$21:$I$25,TRUE(),Checklist!$H$21:$H$25,TRUE())/COUNTIF(Checklist!$H$21:$H$25,TRUE()),0)</f>
        <v>0</v>
      </c>
      <c r="G14" s="18" t="n">
        <f aca="false">UWorld!E8</f>
        <v>14</v>
      </c>
      <c r="H14" s="18" t="n">
        <f aca="false">UWorld!F8</f>
        <v>0</v>
      </c>
    </row>
    <row r="15" customFormat="false" ht="15" hidden="false" customHeight="false" outlineLevel="0" collapsed="false">
      <c r="A15" s="10" t="n">
        <v>46134</v>
      </c>
      <c r="B15" s="16" t="s">
        <v>21</v>
      </c>
      <c r="C15" s="12" t="s">
        <v>25</v>
      </c>
      <c r="D15" s="13" t="str">
        <f aca="false">Planner!G9</f>
        <v>Not Started</v>
      </c>
      <c r="E15" s="13" t="n">
        <f aca="false">SUMPRODUCT(--(Checklist!$H$26:$H$32=TRUE()),Checklist!$G$26:$G$32)</f>
        <v>15</v>
      </c>
      <c r="F15" s="14" t="n">
        <f aca="false">IFERROR(COUNTIFS(Checklist!$I$26:$I$32,TRUE(),Checklist!$H$26:$H$32,TRUE())/COUNTIF(Checklist!$H$26:$H$32,TRUE()),0)</f>
        <v>0</v>
      </c>
      <c r="G15" s="13" t="n">
        <f aca="false">UWorld!E9</f>
        <v>4</v>
      </c>
      <c r="H15" s="13" t="n">
        <f aca="false">UWorld!F9</f>
        <v>0</v>
      </c>
    </row>
    <row r="16" customFormat="false" ht="15" hidden="false" customHeight="false" outlineLevel="0" collapsed="false">
      <c r="A16" s="15" t="n">
        <v>46140</v>
      </c>
      <c r="B16" s="11" t="s">
        <v>19</v>
      </c>
      <c r="C16" s="17" t="s">
        <v>26</v>
      </c>
      <c r="D16" s="18" t="str">
        <f aca="false">Planner!G10</f>
        <v>Not Started</v>
      </c>
      <c r="E16" s="18" t="n">
        <f aca="false">SUMPRODUCT(--(Checklist!$H$33:$H$41=TRUE()),Checklist!$G$33:$G$41)</f>
        <v>15</v>
      </c>
      <c r="F16" s="19" t="n">
        <f aca="false">IFERROR(COUNTIFS(Checklist!$I$33:$I$41,TRUE(),Checklist!$H$33:$H$41,TRUE())/COUNTIF(Checklist!$H$33:$H$41,TRUE()),0)</f>
        <v>0</v>
      </c>
      <c r="G16" s="18" t="n">
        <f aca="false">UWorld!E10</f>
        <v>5</v>
      </c>
      <c r="H16" s="18" t="n">
        <f aca="false">UWorld!F10</f>
        <v>0</v>
      </c>
    </row>
    <row r="17" customFormat="false" ht="15" hidden="false" customHeight="false" outlineLevel="0" collapsed="false">
      <c r="A17" s="10" t="n">
        <v>46141</v>
      </c>
      <c r="B17" s="20" t="s">
        <v>27</v>
      </c>
      <c r="C17" s="12" t="s">
        <v>28</v>
      </c>
      <c r="D17" s="13" t="str">
        <f aca="false">Planner!G11</f>
        <v>Not Started</v>
      </c>
      <c r="E17" s="13" t="n">
        <f aca="false">SUMPRODUCT(--(Checklist!$H$42:$H$49=TRUE()),Checklist!$G$42:$G$49)</f>
        <v>15</v>
      </c>
      <c r="F17" s="14" t="n">
        <f aca="false">IFERROR(COUNTIFS(Checklist!$I$42:$I$49,TRUE(),Checklist!$H$42:$H$49,TRUE())/COUNTIF(Checklist!$H$42:$H$49,TRUE()),0)</f>
        <v>0</v>
      </c>
      <c r="G17" s="13" t="n">
        <f aca="false">UWorld!E11</f>
        <v>17</v>
      </c>
      <c r="H17" s="13" t="n">
        <f aca="false">UWorld!F11</f>
        <v>0</v>
      </c>
    </row>
    <row r="18" customFormat="false" ht="23.85" hidden="false" customHeight="false" outlineLevel="0" collapsed="false">
      <c r="A18" s="15" t="n">
        <v>46156</v>
      </c>
      <c r="B18" s="21" t="s">
        <v>29</v>
      </c>
      <c r="C18" s="17" t="s">
        <v>30</v>
      </c>
      <c r="D18" s="18" t="str">
        <f aca="false">Planner!G12</f>
        <v>Not Started</v>
      </c>
      <c r="E18" s="18" t="n">
        <f aca="false">SUMPRODUCT(--(Checklist!$H$50:$H$58=TRUE()),Checklist!$G$50:$G$58)</f>
        <v>15</v>
      </c>
      <c r="F18" s="19" t="n">
        <f aca="false">IFERROR(COUNTIFS(Checklist!$I$50:$I$58,TRUE(),Checklist!$H$50:$H$58,TRUE())/COUNTIF(Checklist!$H$50:$H$58,TRUE()),0)</f>
        <v>0</v>
      </c>
      <c r="G18" s="18" t="n">
        <f aca="false">UWorld!E12</f>
        <v>17</v>
      </c>
      <c r="H18" s="18" t="n">
        <f aca="false">UWorld!F12</f>
        <v>0</v>
      </c>
    </row>
    <row r="19" customFormat="false" ht="15" hidden="false" customHeight="false" outlineLevel="0" collapsed="false">
      <c r="A19" s="10" t="n">
        <v>46157</v>
      </c>
      <c r="B19" s="16" t="s">
        <v>21</v>
      </c>
      <c r="C19" s="12" t="s">
        <v>31</v>
      </c>
      <c r="D19" s="13" t="str">
        <f aca="false">Planner!G13</f>
        <v>Not Started</v>
      </c>
      <c r="E19" s="13" t="n">
        <f aca="false">SUMPRODUCT(--(Checklist!$H$59:$H$66=TRUE()),Checklist!$G$59:$G$66)</f>
        <v>15</v>
      </c>
      <c r="F19" s="14" t="n">
        <f aca="false">IFERROR(COUNTIFS(Checklist!$I$59:$I$66,TRUE(),Checklist!$H$59:$H$66,TRUE())/COUNTIF(Checklist!$H$59:$H$66,TRUE()),0)</f>
        <v>0</v>
      </c>
      <c r="G19" s="13" t="n">
        <f aca="false">UWorld!E13</f>
        <v>2</v>
      </c>
      <c r="H19" s="13" t="n">
        <f aca="false">UWorld!F13</f>
        <v>0</v>
      </c>
    </row>
    <row r="20" customFormat="false" ht="15" hidden="false" customHeight="false" outlineLevel="0" collapsed="false">
      <c r="A20" s="15" t="n">
        <v>46154</v>
      </c>
      <c r="B20" s="11" t="s">
        <v>19</v>
      </c>
      <c r="C20" s="17" t="s">
        <v>32</v>
      </c>
      <c r="D20" s="18" t="str">
        <f aca="false">Planner!G14</f>
        <v>Not Started</v>
      </c>
      <c r="E20" s="18" t="n">
        <f aca="false">SUMPRODUCT(--(Checklist!$H$67:$H$72=TRUE()),Checklist!$G$67:$G$72)</f>
        <v>15</v>
      </c>
      <c r="F20" s="19" t="n">
        <f aca="false">IFERROR(COUNTIFS(Checklist!$I$67:$I$72,TRUE(),Checklist!$H$67:$H$72,TRUE())/COUNTIF(Checklist!$H$67:$H$72,TRUE()),0)</f>
        <v>0</v>
      </c>
      <c r="G20" s="18" t="n">
        <f aca="false">UWorld!E14</f>
        <v>1</v>
      </c>
      <c r="H20" s="18" t="n">
        <f aca="false">UWorld!F14</f>
        <v>0</v>
      </c>
    </row>
    <row r="21" customFormat="false" ht="15" hidden="false" customHeight="false" outlineLevel="0" collapsed="false">
      <c r="A21" s="10" t="n">
        <v>46154</v>
      </c>
      <c r="B21" s="22" t="s">
        <v>33</v>
      </c>
      <c r="C21" s="12" t="s">
        <v>34</v>
      </c>
      <c r="D21" s="13" t="str">
        <f aca="false">Planner!G15</f>
        <v>Not Started</v>
      </c>
      <c r="E21" s="13" t="n">
        <f aca="false">SUMPRODUCT(--(Checklist!$H$73:$H$92=TRUE()),Checklist!$G$73:$G$92)</f>
        <v>15</v>
      </c>
      <c r="F21" s="14" t="n">
        <f aca="false">IFERROR(COUNTIFS(Checklist!$I$73:$I$92,TRUE(),Checklist!$H$73:$H$92,TRUE())/COUNTIF(Checklist!$H$73:$H$92,TRUE()),0)</f>
        <v>0</v>
      </c>
      <c r="G21" s="13" t="n">
        <f aca="false">UWorld!E15</f>
        <v>14</v>
      </c>
      <c r="H21" s="13" t="n">
        <f aca="false">UWorld!F15</f>
        <v>0</v>
      </c>
    </row>
    <row r="22" customFormat="false" ht="15" hidden="false" customHeight="false" outlineLevel="0" collapsed="false">
      <c r="A22" s="15" t="n">
        <v>46154</v>
      </c>
      <c r="B22" s="16" t="s">
        <v>21</v>
      </c>
      <c r="C22" s="17" t="s">
        <v>35</v>
      </c>
      <c r="D22" s="18" t="str">
        <f aca="false">Planner!G16</f>
        <v>Not Started</v>
      </c>
      <c r="E22" s="18" t="n">
        <f aca="false">SUMPRODUCT(--(Checklist!$H$93:$H$98=TRUE()),Checklist!$G$93:$G$98)</f>
        <v>15</v>
      </c>
      <c r="F22" s="19" t="n">
        <f aca="false">IFERROR(COUNTIFS(Checklist!$I$93:$I$98,TRUE(),Checklist!$H$93:$H$98,TRUE())/COUNTIF(Checklist!$H$93:$H$98,TRUE()),0)</f>
        <v>0</v>
      </c>
      <c r="G22" s="18" t="n">
        <f aca="false">UWorld!E16</f>
        <v>0</v>
      </c>
      <c r="H22" s="18" t="n">
        <f aca="false">UWorld!F16</f>
        <v>0</v>
      </c>
    </row>
    <row r="23" customFormat="false" ht="15" hidden="false" customHeight="false" outlineLevel="0" collapsed="false">
      <c r="A23" s="10" t="n">
        <v>46155</v>
      </c>
      <c r="B23" s="20" t="s">
        <v>27</v>
      </c>
      <c r="C23" s="12" t="s">
        <v>36</v>
      </c>
      <c r="D23" s="13" t="str">
        <f aca="false">Planner!G17</f>
        <v>Not Started</v>
      </c>
      <c r="E23" s="13" t="n">
        <f aca="false">SUMPRODUCT(--(Checklist!$H$99:$H$114=TRUE()),Checklist!$G$99:$G$114)</f>
        <v>15</v>
      </c>
      <c r="F23" s="14" t="n">
        <f aca="false">IFERROR(COUNTIFS(Checklist!$I$99:$I$114,TRUE(),Checklist!$H$99:$H$114,TRUE())/COUNTIF(Checklist!$H$99:$H$114,TRUE()),0)</f>
        <v>0</v>
      </c>
      <c r="G23" s="13" t="n">
        <f aca="false">UWorld!E17</f>
        <v>47</v>
      </c>
      <c r="H23" s="13" t="n">
        <f aca="false">UWorld!F17</f>
        <v>0</v>
      </c>
    </row>
    <row r="24" customFormat="false" ht="15" hidden="false" customHeight="false" outlineLevel="0" collapsed="false">
      <c r="A24" s="15" t="n">
        <v>46156</v>
      </c>
      <c r="B24" s="21" t="s">
        <v>29</v>
      </c>
      <c r="C24" s="17" t="s">
        <v>37</v>
      </c>
      <c r="D24" s="18" t="str">
        <f aca="false">Planner!G18</f>
        <v>Not Started</v>
      </c>
      <c r="E24" s="18" t="n">
        <f aca="false">SUMPRODUCT(--(Checklist!$H$115:$H$121=TRUE()),Checklist!$G$115:$G$121)</f>
        <v>15</v>
      </c>
      <c r="F24" s="19" t="n">
        <f aca="false">IFERROR(COUNTIFS(Checklist!$I$115:$I$121,TRUE(),Checklist!$H$115:$H$121,TRUE())/COUNTIF(Checklist!$H$115:$H$121,TRUE()),0)</f>
        <v>0</v>
      </c>
      <c r="G24" s="18" t="n">
        <f aca="false">UWorld!E18</f>
        <v>20</v>
      </c>
      <c r="H24" s="18" t="n">
        <f aca="false">UWorld!F18</f>
        <v>0</v>
      </c>
    </row>
    <row r="25" customFormat="false" ht="15" hidden="false" customHeight="false" outlineLevel="0" collapsed="false">
      <c r="A25" s="10" t="n">
        <v>46162</v>
      </c>
      <c r="B25" s="16" t="s">
        <v>21</v>
      </c>
      <c r="C25" s="12" t="s">
        <v>38</v>
      </c>
      <c r="D25" s="13" t="str">
        <f aca="false">Planner!G19</f>
        <v>Not Started</v>
      </c>
      <c r="E25" s="13" t="n">
        <f aca="false">SUMPRODUCT(--(Checklist!$H$122:$H$127=TRUE()),Checklist!$G$122:$G$127)</f>
        <v>15</v>
      </c>
      <c r="F25" s="14" t="n">
        <f aca="false">IFERROR(COUNTIFS(Checklist!$I$122:$I$127,TRUE(),Checklist!$H$122:$H$127,TRUE())/COUNTIF(Checklist!$H$122:$H$127,TRUE()),0)</f>
        <v>0</v>
      </c>
      <c r="G25" s="13" t="n">
        <f aca="false">UWorld!E19</f>
        <v>16</v>
      </c>
      <c r="H25" s="13" t="n">
        <f aca="false">UWorld!F19</f>
        <v>0</v>
      </c>
    </row>
    <row r="26" customFormat="false" ht="15" hidden="false" customHeight="false" outlineLevel="0" collapsed="false">
      <c r="A26" s="15" t="n">
        <v>46161</v>
      </c>
      <c r="B26" s="20" t="s">
        <v>27</v>
      </c>
      <c r="C26" s="17" t="s">
        <v>39</v>
      </c>
      <c r="D26" s="18" t="str">
        <f aca="false">Planner!G20</f>
        <v>Not Started</v>
      </c>
      <c r="E26" s="18" t="n">
        <f aca="false">SUMPRODUCT(--(Checklist!$H$128:$H$134=TRUE()),Checklist!$G$128:$G$134)</f>
        <v>15</v>
      </c>
      <c r="F26" s="19" t="n">
        <f aca="false">IFERROR(COUNTIFS(Checklist!$I$128:$I$134,TRUE(),Checklist!$H$128:$H$134,TRUE())/COUNTIF(Checklist!$H$128:$H$134,TRUE()),0)</f>
        <v>0</v>
      </c>
      <c r="G26" s="18" t="n">
        <f aca="false">UWorld!E20</f>
        <v>49</v>
      </c>
      <c r="H26" s="18" t="n">
        <f aca="false">UWorld!F20</f>
        <v>0</v>
      </c>
    </row>
    <row r="27" customFormat="false" ht="15" hidden="false" customHeight="false" outlineLevel="0" collapsed="false">
      <c r="A27" s="10" t="n">
        <v>46161</v>
      </c>
      <c r="B27" s="21" t="s">
        <v>29</v>
      </c>
      <c r="C27" s="12" t="s">
        <v>40</v>
      </c>
      <c r="D27" s="13" t="str">
        <f aca="false">Planner!G21</f>
        <v>Not Started</v>
      </c>
      <c r="E27" s="13" t="n">
        <f aca="false">SUMPRODUCT(--(Checklist!$H$135:$H$142=TRUE()),Checklist!$G$135:$G$142)</f>
        <v>15</v>
      </c>
      <c r="F27" s="14" t="n">
        <f aca="false">IFERROR(COUNTIFS(Checklist!$I$135:$I$142,TRUE(),Checklist!$H$135:$H$142,TRUE())/COUNTIF(Checklist!$H$135:$H$142,TRUE()),0)</f>
        <v>0</v>
      </c>
      <c r="G27" s="13" t="n">
        <f aca="false">UWorld!E21</f>
        <v>41</v>
      </c>
      <c r="H27" s="13" t="n">
        <f aca="false">UWorld!F21</f>
        <v>0</v>
      </c>
    </row>
    <row r="28" customFormat="false" ht="15" hidden="false" customHeight="false" outlineLevel="0" collapsed="false">
      <c r="A28" s="15" t="n">
        <v>46161</v>
      </c>
      <c r="B28" s="21" t="s">
        <v>29</v>
      </c>
      <c r="C28" s="17" t="s">
        <v>41</v>
      </c>
      <c r="D28" s="18" t="str">
        <f aca="false">Planner!G22</f>
        <v>Not Started</v>
      </c>
      <c r="E28" s="18" t="n">
        <f aca="false">SUMPRODUCT(--(Checklist!$H$143:$H$148=TRUE()),Checklist!$G$143:$G$148)</f>
        <v>15</v>
      </c>
      <c r="F28" s="19" t="n">
        <f aca="false">IFERROR(COUNTIFS(Checklist!$I$143:$I$148,TRUE(),Checklist!$H$143:$H$148,TRUE())/COUNTIF(Checklist!$H$143:$H$148,TRUE()),0)</f>
        <v>0</v>
      </c>
      <c r="G28" s="18" t="n">
        <f aca="false">UWorld!E22</f>
        <v>41</v>
      </c>
      <c r="H28" s="18" t="n">
        <f aca="false">UWorld!F22</f>
        <v>0</v>
      </c>
    </row>
    <row r="29" customFormat="false" ht="15" hidden="false" customHeight="false" outlineLevel="0" collapsed="false">
      <c r="A29" s="10" t="n">
        <v>46162</v>
      </c>
      <c r="B29" s="20" t="s">
        <v>27</v>
      </c>
      <c r="C29" s="12" t="s">
        <v>42</v>
      </c>
      <c r="D29" s="13" t="str">
        <f aca="false">Planner!G23</f>
        <v>Not Started</v>
      </c>
      <c r="E29" s="13" t="n">
        <f aca="false">SUMPRODUCT(--(Checklist!$H$149:$H$156=TRUE()),Checklist!$G$149:$G$156)</f>
        <v>15</v>
      </c>
      <c r="F29" s="14" t="n">
        <f aca="false">IFERROR(COUNTIFS(Checklist!$I$149:$I$156,TRUE(),Checklist!$H$149:$H$156,TRUE())/COUNTIF(Checklist!$H$149:$H$156,TRUE()),0)</f>
        <v>0</v>
      </c>
      <c r="G29" s="13" t="n">
        <f aca="false">UWorld!E23</f>
        <v>29</v>
      </c>
      <c r="H29" s="13" t="n">
        <f aca="false">UWorld!F23</f>
        <v>0</v>
      </c>
    </row>
    <row r="30" customFormat="false" ht="15" hidden="false" customHeight="false" outlineLevel="0" collapsed="false">
      <c r="A30" s="15" t="n">
        <v>46162</v>
      </c>
      <c r="B30" s="21" t="s">
        <v>29</v>
      </c>
      <c r="C30" s="17" t="s">
        <v>43</v>
      </c>
      <c r="D30" s="18" t="str">
        <f aca="false">Planner!G24</f>
        <v>Not Started</v>
      </c>
      <c r="E30" s="18" t="n">
        <f aca="false">SUMPRODUCT(--(Checklist!$H$157:$H$163=TRUE()),Checklist!$G$157:$G$163)</f>
        <v>15</v>
      </c>
      <c r="F30" s="19" t="n">
        <f aca="false">IFERROR(COUNTIFS(Checklist!$I$157:$I$163,TRUE(),Checklist!$H$157:$H$163,TRUE())/COUNTIF(Checklist!$H$157:$H$163,TRUE()),0)</f>
        <v>0</v>
      </c>
      <c r="G30" s="18" t="n">
        <f aca="false">UWorld!E24</f>
        <v>16</v>
      </c>
      <c r="H30" s="18" t="n">
        <f aca="false">UWorld!F24</f>
        <v>0</v>
      </c>
    </row>
    <row r="31" customFormat="false" ht="15" hidden="false" customHeight="false" outlineLevel="0" collapsed="false">
      <c r="A31" s="10" t="n">
        <v>46164</v>
      </c>
      <c r="B31" s="21" t="s">
        <v>29</v>
      </c>
      <c r="C31" s="12" t="s">
        <v>44</v>
      </c>
      <c r="D31" s="13" t="str">
        <f aca="false">Planner!G25</f>
        <v>Not Started</v>
      </c>
      <c r="E31" s="13" t="n">
        <f aca="false">SUMPRODUCT(--(Checklist!$H$164:$H$168=TRUE()),Checklist!$G$164:$G$168)</f>
        <v>15</v>
      </c>
      <c r="F31" s="14" t="n">
        <f aca="false">IFERROR(COUNTIFS(Checklist!$I$164:$I$168,TRUE(),Checklist!$H$164:$H$168,TRUE())/COUNTIF(Checklist!$H$164:$H$168,TRUE()),0)</f>
        <v>0</v>
      </c>
      <c r="G31" s="13" t="n">
        <f aca="false">UWorld!E25</f>
        <v>0</v>
      </c>
      <c r="H31" s="13" t="n">
        <f aca="false">UWorld!F25</f>
        <v>0</v>
      </c>
    </row>
    <row r="32" customFormat="false" ht="15" hidden="false" customHeight="false" outlineLevel="0" collapsed="false">
      <c r="A32" s="15" t="n">
        <v>46169</v>
      </c>
      <c r="B32" s="16" t="s">
        <v>21</v>
      </c>
      <c r="C32" s="17" t="s">
        <v>45</v>
      </c>
      <c r="D32" s="18" t="str">
        <f aca="false">Planner!G26</f>
        <v>Not Started</v>
      </c>
      <c r="E32" s="18" t="n">
        <f aca="false">SUMPRODUCT(--(Checklist!$H$169:$H$172=TRUE()),Checklist!$G$169:$G$172)</f>
        <v>15</v>
      </c>
      <c r="F32" s="19" t="n">
        <f aca="false">IFERROR(COUNTIFS(Checklist!$I$169:$I$172,TRUE(),Checklist!$H$169:$H$172,TRUE())/COUNTIF(Checklist!$H$169:$H$172,TRUE()),0)</f>
        <v>0</v>
      </c>
      <c r="G32" s="18" t="n">
        <f aca="false">UWorld!E26</f>
        <v>1</v>
      </c>
      <c r="H32" s="18" t="n">
        <f aca="false">UWorld!F26</f>
        <v>0</v>
      </c>
    </row>
    <row r="33" customFormat="false" ht="15" hidden="false" customHeight="false" outlineLevel="0" collapsed="false">
      <c r="A33" s="10" t="n">
        <v>46170</v>
      </c>
      <c r="B33" s="20" t="s">
        <v>27</v>
      </c>
      <c r="C33" s="12" t="s">
        <v>46</v>
      </c>
      <c r="D33" s="13" t="str">
        <f aca="false">Planner!G27</f>
        <v>Not Started</v>
      </c>
      <c r="E33" s="13" t="n">
        <f aca="false">SUMPRODUCT(--(Checklist!$H$173:$H$181=TRUE()),Checklist!$G$173:$G$181)</f>
        <v>15</v>
      </c>
      <c r="F33" s="14" t="n">
        <f aca="false">IFERROR(COUNTIFS(Checklist!$I$173:$I$181,TRUE(),Checklist!$H$173:$H$181,TRUE())/COUNTIF(Checklist!$H$173:$H$181,TRUE()),0)</f>
        <v>0</v>
      </c>
      <c r="G33" s="13" t="n">
        <f aca="false">UWorld!E27</f>
        <v>0</v>
      </c>
      <c r="H33" s="13" t="n">
        <f aca="false">UWorld!F27</f>
        <v>0</v>
      </c>
    </row>
    <row r="34" customFormat="false" ht="15" hidden="false" customHeight="false" outlineLevel="0" collapsed="false">
      <c r="A34" s="15" t="n">
        <v>46170</v>
      </c>
      <c r="B34" s="21" t="s">
        <v>29</v>
      </c>
      <c r="C34" s="17" t="s">
        <v>47</v>
      </c>
      <c r="D34" s="18" t="str">
        <f aca="false">Planner!G28</f>
        <v>Not Started</v>
      </c>
      <c r="E34" s="18" t="n">
        <f aca="false">SUMPRODUCT(--(Checklist!$H$182:$H$187=TRUE()),Checklist!$G$182:$G$187)</f>
        <v>15</v>
      </c>
      <c r="F34" s="19" t="n">
        <f aca="false">IFERROR(COUNTIFS(Checklist!$I$182:$I$187,TRUE(),Checklist!$H$182:$H$187,TRUE())/COUNTIF(Checklist!$H$182:$H$187,TRUE()),0)</f>
        <v>0</v>
      </c>
      <c r="G34" s="18" t="n">
        <f aca="false">UWorld!E28</f>
        <v>1</v>
      </c>
      <c r="H34" s="18" t="n">
        <f aca="false">UWorld!F28</f>
        <v>0</v>
      </c>
    </row>
    <row r="35" customFormat="false" ht="15" hidden="false" customHeight="false" outlineLevel="0" collapsed="false">
      <c r="A35" s="10" t="n">
        <v>46171</v>
      </c>
      <c r="B35" s="21" t="s">
        <v>29</v>
      </c>
      <c r="C35" s="12" t="s">
        <v>48</v>
      </c>
      <c r="D35" s="13" t="str">
        <f aca="false">Planner!G29</f>
        <v>Not Started</v>
      </c>
      <c r="E35" s="13" t="n">
        <f aca="false">SUMPRODUCT(--(Checklist!$H$188:$H$191=TRUE()),Checklist!$G$188:$G$191)</f>
        <v>15</v>
      </c>
      <c r="F35" s="14" t="n">
        <f aca="false">IFERROR(COUNTIFS(Checklist!$I$188:$I$191,TRUE(),Checklist!$H$188:$H$191,TRUE())/COUNTIF(Checklist!$H$188:$H$191,TRUE()),0)</f>
        <v>0</v>
      </c>
      <c r="G35" s="13" t="n">
        <f aca="false">UWorld!E29</f>
        <v>0</v>
      </c>
      <c r="H35" s="13" t="n">
        <f aca="false">UWorld!F29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6" min="5" style="0" width="18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11" min="9" style="0" width="14"/>
    <col collapsed="false" customWidth="true" hidden="false" outlineLevel="0" max="12" min="12" style="0" width="11"/>
    <col collapsed="false" customWidth="true" hidden="false" outlineLevel="0" max="13" min="13" style="0" width="44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30" hidden="false" customHeight="true" outlineLevel="0" collapsed="false">
      <c r="A4" s="9" t="s">
        <v>11</v>
      </c>
      <c r="B4" s="9" t="s">
        <v>12</v>
      </c>
      <c r="C4" s="9" t="s">
        <v>13</v>
      </c>
      <c r="D4" s="9" t="s">
        <v>51</v>
      </c>
      <c r="E4" s="9" t="s">
        <v>52</v>
      </c>
      <c r="F4" s="9" t="s">
        <v>53</v>
      </c>
      <c r="G4" s="9" t="s">
        <v>54</v>
      </c>
      <c r="H4" s="9" t="s">
        <v>55</v>
      </c>
      <c r="I4" s="9" t="s">
        <v>56</v>
      </c>
      <c r="J4" s="9" t="s">
        <v>57</v>
      </c>
      <c r="K4" s="9" t="s">
        <v>58</v>
      </c>
      <c r="L4" s="9" t="s">
        <v>59</v>
      </c>
      <c r="M4" s="9" t="s">
        <v>60</v>
      </c>
    </row>
    <row r="5" customFormat="false" ht="15" hidden="false" customHeight="false" outlineLevel="0" collapsed="false">
      <c r="A5" s="10" t="n">
        <v>46132</v>
      </c>
      <c r="B5" s="11" t="s">
        <v>19</v>
      </c>
      <c r="C5" s="12" t="s">
        <v>20</v>
      </c>
      <c r="D5" s="23" t="s">
        <v>61</v>
      </c>
      <c r="E5" s="24"/>
      <c r="F5" s="24"/>
      <c r="G5" s="23" t="s">
        <v>62</v>
      </c>
      <c r="H5" s="13"/>
      <c r="I5" s="24" t="n">
        <f aca="false">SUMPRODUCT(--(Checklist!$H$5:$H$8=TRUE()),Checklist!$G$5:$G$8)</f>
        <v>15</v>
      </c>
      <c r="J5" s="24" t="n">
        <f aca="false">COUNTIFS(Checklist!$H$5:$H$8,TRUE(),Checklist!$I$5:$I$8,TRUE())</f>
        <v>0</v>
      </c>
      <c r="K5" s="24" t="n">
        <f aca="false">COUNTIF(Checklist!$H$5:$H$8,TRUE())</f>
        <v>1</v>
      </c>
      <c r="L5" s="25" t="n">
        <f aca="false">IFERROR(J5/K5,0)</f>
        <v>0</v>
      </c>
      <c r="M5" s="26" t="s">
        <v>63</v>
      </c>
    </row>
    <row r="6" customFormat="false" ht="15" hidden="false" customHeight="false" outlineLevel="0" collapsed="false">
      <c r="A6" s="15" t="n">
        <v>46132</v>
      </c>
      <c r="B6" s="16" t="s">
        <v>21</v>
      </c>
      <c r="C6" s="17" t="s">
        <v>22</v>
      </c>
      <c r="D6" s="27" t="s">
        <v>61</v>
      </c>
      <c r="E6" s="28"/>
      <c r="F6" s="28"/>
      <c r="G6" s="27" t="s">
        <v>62</v>
      </c>
      <c r="H6" s="18"/>
      <c r="I6" s="28" t="n">
        <f aca="false">SUMPRODUCT(--(Checklist!$H$9:$H$14=TRUE()),Checklist!$G$9:$G$14)</f>
        <v>15</v>
      </c>
      <c r="J6" s="28" t="n">
        <f aca="false">COUNTIFS(Checklist!$H$9:$H$14,TRUE(),Checklist!$I$9:$I$14,TRUE())</f>
        <v>0</v>
      </c>
      <c r="K6" s="28" t="n">
        <f aca="false">COUNTIF(Checklist!$H$9:$H$14,TRUE())</f>
        <v>1</v>
      </c>
      <c r="L6" s="29" t="n">
        <f aca="false">IFERROR(J6/K6,0)</f>
        <v>0</v>
      </c>
      <c r="M6" s="30" t="s">
        <v>64</v>
      </c>
    </row>
    <row r="7" customFormat="false" ht="15" hidden="false" customHeight="false" outlineLevel="0" collapsed="false">
      <c r="A7" s="10" t="n">
        <v>46135</v>
      </c>
      <c r="B7" s="11" t="s">
        <v>19</v>
      </c>
      <c r="C7" s="12" t="s">
        <v>23</v>
      </c>
      <c r="D7" s="23" t="s">
        <v>61</v>
      </c>
      <c r="E7" s="24"/>
      <c r="F7" s="24"/>
      <c r="G7" s="23" t="s">
        <v>62</v>
      </c>
      <c r="H7" s="13"/>
      <c r="I7" s="24" t="n">
        <f aca="false">SUMPRODUCT(--(Checklist!$H$15:$H$20=TRUE()),Checklist!$G$15:$G$20)</f>
        <v>15</v>
      </c>
      <c r="J7" s="24" t="n">
        <f aca="false">COUNTIFS(Checklist!$H$15:$H$20,TRUE(),Checklist!$I$15:$I$20,TRUE())</f>
        <v>0</v>
      </c>
      <c r="K7" s="24" t="n">
        <f aca="false">COUNTIF(Checklist!$H$15:$H$20,TRUE())</f>
        <v>1</v>
      </c>
      <c r="L7" s="25" t="n">
        <f aca="false">IFERROR(J7/K7,0)</f>
        <v>0</v>
      </c>
      <c r="M7" s="26" t="s">
        <v>65</v>
      </c>
    </row>
    <row r="8" customFormat="false" ht="15" hidden="false" customHeight="false" outlineLevel="0" collapsed="false">
      <c r="A8" s="15" t="n">
        <v>46135</v>
      </c>
      <c r="B8" s="11" t="s">
        <v>19</v>
      </c>
      <c r="C8" s="17" t="s">
        <v>24</v>
      </c>
      <c r="D8" s="27" t="s">
        <v>61</v>
      </c>
      <c r="E8" s="28"/>
      <c r="F8" s="28"/>
      <c r="G8" s="27" t="s">
        <v>62</v>
      </c>
      <c r="H8" s="18"/>
      <c r="I8" s="28" t="n">
        <f aca="false">SUMPRODUCT(--(Checklist!$H$21:$H$25=TRUE()),Checklist!$G$21:$G$25)</f>
        <v>15</v>
      </c>
      <c r="J8" s="28" t="n">
        <f aca="false">COUNTIFS(Checklist!$H$21:$H$25,TRUE(),Checklist!$I$21:$I$25,TRUE())</f>
        <v>0</v>
      </c>
      <c r="K8" s="28" t="n">
        <f aca="false">COUNTIF(Checklist!$H$21:$H$25,TRUE())</f>
        <v>1</v>
      </c>
      <c r="L8" s="29" t="n">
        <f aca="false">IFERROR(J8/K8,0)</f>
        <v>0</v>
      </c>
      <c r="M8" s="30" t="s">
        <v>66</v>
      </c>
    </row>
    <row r="9" customFormat="false" ht="15" hidden="false" customHeight="false" outlineLevel="0" collapsed="false">
      <c r="A9" s="10" t="n">
        <v>46134</v>
      </c>
      <c r="B9" s="16" t="s">
        <v>21</v>
      </c>
      <c r="C9" s="12" t="s">
        <v>25</v>
      </c>
      <c r="D9" s="23" t="s">
        <v>61</v>
      </c>
      <c r="E9" s="24"/>
      <c r="F9" s="24"/>
      <c r="G9" s="23" t="s">
        <v>62</v>
      </c>
      <c r="H9" s="13"/>
      <c r="I9" s="24" t="n">
        <f aca="false">SUMPRODUCT(--(Checklist!$H$26:$H$32=TRUE()),Checklist!$G$26:$G$32)</f>
        <v>15</v>
      </c>
      <c r="J9" s="24" t="n">
        <f aca="false">COUNTIFS(Checklist!$H$26:$H$32,TRUE(),Checklist!$I$26:$I$32,TRUE())</f>
        <v>0</v>
      </c>
      <c r="K9" s="24" t="n">
        <f aca="false">COUNTIF(Checklist!$H$26:$H$32,TRUE())</f>
        <v>1</v>
      </c>
      <c r="L9" s="25" t="n">
        <f aca="false">IFERROR(J9/K9,0)</f>
        <v>0</v>
      </c>
      <c r="M9" s="26" t="s">
        <v>64</v>
      </c>
    </row>
    <row r="10" customFormat="false" ht="15" hidden="false" customHeight="false" outlineLevel="0" collapsed="false">
      <c r="A10" s="15" t="n">
        <v>46140</v>
      </c>
      <c r="B10" s="11" t="s">
        <v>19</v>
      </c>
      <c r="C10" s="17" t="s">
        <v>26</v>
      </c>
      <c r="D10" s="27" t="s">
        <v>61</v>
      </c>
      <c r="E10" s="28"/>
      <c r="F10" s="28"/>
      <c r="G10" s="27" t="s">
        <v>62</v>
      </c>
      <c r="H10" s="18"/>
      <c r="I10" s="28" t="n">
        <f aca="false">SUMPRODUCT(--(Checklist!$H$33:$H$41=TRUE()),Checklist!$G$33:$G$41)</f>
        <v>15</v>
      </c>
      <c r="J10" s="28" t="n">
        <f aca="false">COUNTIFS(Checklist!$H$33:$H$41,TRUE(),Checklist!$I$33:$I$41,TRUE())</f>
        <v>0</v>
      </c>
      <c r="K10" s="28" t="n">
        <f aca="false">COUNTIF(Checklist!$H$33:$H$41,TRUE())</f>
        <v>1</v>
      </c>
      <c r="L10" s="29" t="n">
        <f aca="false">IFERROR(J10/K10,0)</f>
        <v>0</v>
      </c>
      <c r="M10" s="30" t="s">
        <v>64</v>
      </c>
    </row>
    <row r="11" customFormat="false" ht="15" hidden="false" customHeight="false" outlineLevel="0" collapsed="false">
      <c r="A11" s="10" t="n">
        <v>46141</v>
      </c>
      <c r="B11" s="20" t="s">
        <v>27</v>
      </c>
      <c r="C11" s="12" t="s">
        <v>28</v>
      </c>
      <c r="D11" s="23" t="s">
        <v>61</v>
      </c>
      <c r="E11" s="24"/>
      <c r="F11" s="24"/>
      <c r="G11" s="23" t="s">
        <v>62</v>
      </c>
      <c r="H11" s="13"/>
      <c r="I11" s="24" t="n">
        <f aca="false">SUMPRODUCT(--(Checklist!$H$42:$H$49=TRUE()),Checklist!$G$42:$G$49)</f>
        <v>15</v>
      </c>
      <c r="J11" s="24" t="n">
        <f aca="false">COUNTIFS(Checklist!$H$42:$H$49,TRUE(),Checklist!$I$42:$I$49,TRUE())</f>
        <v>0</v>
      </c>
      <c r="K11" s="24" t="n">
        <f aca="false">COUNTIF(Checklist!$H$42:$H$49,TRUE())</f>
        <v>1</v>
      </c>
      <c r="L11" s="25" t="n">
        <f aca="false">IFERROR(J11/K11,0)</f>
        <v>0</v>
      </c>
      <c r="M11" s="26" t="s">
        <v>67</v>
      </c>
    </row>
    <row r="12" customFormat="false" ht="23.85" hidden="false" customHeight="false" outlineLevel="0" collapsed="false">
      <c r="A12" s="15" t="n">
        <v>46156</v>
      </c>
      <c r="B12" s="21" t="s">
        <v>29</v>
      </c>
      <c r="C12" s="17" t="s">
        <v>30</v>
      </c>
      <c r="D12" s="27" t="s">
        <v>61</v>
      </c>
      <c r="E12" s="28"/>
      <c r="F12" s="28"/>
      <c r="G12" s="27" t="s">
        <v>62</v>
      </c>
      <c r="H12" s="18"/>
      <c r="I12" s="28" t="n">
        <f aca="false">SUMPRODUCT(--(Checklist!$H$50:$H$58=TRUE()),Checklist!$G$50:$G$58)</f>
        <v>15</v>
      </c>
      <c r="J12" s="28" t="n">
        <f aca="false">COUNTIFS(Checklist!$H$50:$H$58,TRUE(),Checklist!$I$50:$I$58,TRUE())</f>
        <v>0</v>
      </c>
      <c r="K12" s="28" t="n">
        <f aca="false">COUNTIF(Checklist!$H$50:$H$58,TRUE())</f>
        <v>1</v>
      </c>
      <c r="L12" s="29" t="n">
        <f aca="false">IFERROR(J12/K12,0)</f>
        <v>0</v>
      </c>
      <c r="M12" s="30" t="s">
        <v>64</v>
      </c>
    </row>
    <row r="13" customFormat="false" ht="15" hidden="false" customHeight="false" outlineLevel="0" collapsed="false">
      <c r="A13" s="10" t="n">
        <v>46157</v>
      </c>
      <c r="B13" s="16" t="s">
        <v>21</v>
      </c>
      <c r="C13" s="12" t="s">
        <v>31</v>
      </c>
      <c r="D13" s="23" t="s">
        <v>61</v>
      </c>
      <c r="E13" s="24"/>
      <c r="F13" s="24"/>
      <c r="G13" s="23" t="s">
        <v>62</v>
      </c>
      <c r="H13" s="13"/>
      <c r="I13" s="24" t="n">
        <f aca="false">SUMPRODUCT(--(Checklist!$H$59:$H$66=TRUE()),Checklist!$G$59:$G$66)</f>
        <v>15</v>
      </c>
      <c r="J13" s="24" t="n">
        <f aca="false">COUNTIFS(Checklist!$H$59:$H$66,TRUE(),Checklist!$I$59:$I$66,TRUE())</f>
        <v>0</v>
      </c>
      <c r="K13" s="24" t="n">
        <f aca="false">COUNTIF(Checklist!$H$59:$H$66,TRUE())</f>
        <v>1</v>
      </c>
      <c r="L13" s="25" t="n">
        <f aca="false">IFERROR(J13/K13,0)</f>
        <v>0</v>
      </c>
      <c r="M13" s="26" t="s">
        <v>64</v>
      </c>
    </row>
    <row r="14" customFormat="false" ht="15" hidden="false" customHeight="false" outlineLevel="0" collapsed="false">
      <c r="A14" s="15" t="n">
        <v>46154</v>
      </c>
      <c r="B14" s="11" t="s">
        <v>19</v>
      </c>
      <c r="C14" s="17" t="s">
        <v>32</v>
      </c>
      <c r="D14" s="27" t="s">
        <v>61</v>
      </c>
      <c r="E14" s="28"/>
      <c r="F14" s="28"/>
      <c r="G14" s="27" t="s">
        <v>62</v>
      </c>
      <c r="H14" s="18"/>
      <c r="I14" s="28" t="n">
        <f aca="false">SUMPRODUCT(--(Checklist!$H$67:$H$72=TRUE()),Checklist!$G$67:$G$72)</f>
        <v>15</v>
      </c>
      <c r="J14" s="28" t="n">
        <f aca="false">COUNTIFS(Checklist!$H$67:$H$72,TRUE(),Checklist!$I$67:$I$72,TRUE())</f>
        <v>0</v>
      </c>
      <c r="K14" s="28" t="n">
        <f aca="false">COUNTIF(Checklist!$H$67:$H$72,TRUE())</f>
        <v>1</v>
      </c>
      <c r="L14" s="29" t="n">
        <f aca="false">IFERROR(J14/K14,0)</f>
        <v>0</v>
      </c>
      <c r="M14" s="30" t="s">
        <v>65</v>
      </c>
    </row>
    <row r="15" customFormat="false" ht="15" hidden="false" customHeight="false" outlineLevel="0" collapsed="false">
      <c r="A15" s="10" t="n">
        <v>46154</v>
      </c>
      <c r="B15" s="22" t="s">
        <v>33</v>
      </c>
      <c r="C15" s="12" t="s">
        <v>34</v>
      </c>
      <c r="D15" s="23" t="s">
        <v>61</v>
      </c>
      <c r="E15" s="24"/>
      <c r="F15" s="24"/>
      <c r="G15" s="23" t="s">
        <v>62</v>
      </c>
      <c r="H15" s="13"/>
      <c r="I15" s="24" t="n">
        <f aca="false">SUMPRODUCT(--(Checklist!$H$73:$H$92=TRUE()),Checklist!$G$73:$G$92)</f>
        <v>15</v>
      </c>
      <c r="J15" s="24" t="n">
        <f aca="false">COUNTIFS(Checklist!$H$73:$H$92,TRUE(),Checklist!$I$73:$I$92,TRUE())</f>
        <v>0</v>
      </c>
      <c r="K15" s="24" t="n">
        <f aca="false">COUNTIF(Checklist!$H$73:$H$92,TRUE())</f>
        <v>1</v>
      </c>
      <c r="L15" s="25" t="n">
        <f aca="false">IFERROR(J15/K15,0)</f>
        <v>0</v>
      </c>
      <c r="M15" s="26" t="s">
        <v>68</v>
      </c>
    </row>
    <row r="16" customFormat="false" ht="15" hidden="false" customHeight="false" outlineLevel="0" collapsed="false">
      <c r="A16" s="15" t="n">
        <v>46154</v>
      </c>
      <c r="B16" s="16" t="s">
        <v>21</v>
      </c>
      <c r="C16" s="17" t="s">
        <v>35</v>
      </c>
      <c r="D16" s="27" t="s">
        <v>61</v>
      </c>
      <c r="E16" s="28"/>
      <c r="F16" s="28"/>
      <c r="G16" s="27" t="s">
        <v>62</v>
      </c>
      <c r="H16" s="18"/>
      <c r="I16" s="28" t="n">
        <f aca="false">SUMPRODUCT(--(Checklist!$H$93:$H$98=TRUE()),Checklist!$G$93:$G$98)</f>
        <v>15</v>
      </c>
      <c r="J16" s="28" t="n">
        <f aca="false">COUNTIFS(Checklist!$H$93:$H$98,TRUE(),Checklist!$I$93:$I$98,TRUE())</f>
        <v>0</v>
      </c>
      <c r="K16" s="28" t="n">
        <f aca="false">COUNTIF(Checklist!$H$93:$H$98,TRUE())</f>
        <v>1</v>
      </c>
      <c r="L16" s="29" t="n">
        <f aca="false">IFERROR(J16/K16,0)</f>
        <v>0</v>
      </c>
      <c r="M16" s="30" t="s">
        <v>65</v>
      </c>
    </row>
    <row r="17" customFormat="false" ht="15" hidden="false" customHeight="false" outlineLevel="0" collapsed="false">
      <c r="A17" s="10" t="n">
        <v>46155</v>
      </c>
      <c r="B17" s="20" t="s">
        <v>27</v>
      </c>
      <c r="C17" s="12" t="s">
        <v>36</v>
      </c>
      <c r="D17" s="23" t="s">
        <v>61</v>
      </c>
      <c r="E17" s="24"/>
      <c r="F17" s="24"/>
      <c r="G17" s="23" t="s">
        <v>62</v>
      </c>
      <c r="H17" s="13"/>
      <c r="I17" s="24" t="n">
        <f aca="false">SUMPRODUCT(--(Checklist!$H$99:$H$114=TRUE()),Checklist!$G$99:$G$114)</f>
        <v>15</v>
      </c>
      <c r="J17" s="24" t="n">
        <f aca="false">COUNTIFS(Checklist!$H$99:$H$114,TRUE(),Checklist!$I$99:$I$114,TRUE())</f>
        <v>0</v>
      </c>
      <c r="K17" s="24" t="n">
        <f aca="false">COUNTIF(Checklist!$H$99:$H$114,TRUE())</f>
        <v>1</v>
      </c>
      <c r="L17" s="25" t="n">
        <f aca="false">IFERROR(J17/K17,0)</f>
        <v>0</v>
      </c>
      <c r="M17" s="26" t="s">
        <v>68</v>
      </c>
    </row>
    <row r="18" customFormat="false" ht="15" hidden="false" customHeight="false" outlineLevel="0" collapsed="false">
      <c r="A18" s="15" t="n">
        <v>46156</v>
      </c>
      <c r="B18" s="21" t="s">
        <v>29</v>
      </c>
      <c r="C18" s="17" t="s">
        <v>37</v>
      </c>
      <c r="D18" s="27" t="s">
        <v>61</v>
      </c>
      <c r="E18" s="28"/>
      <c r="F18" s="28"/>
      <c r="G18" s="27" t="s">
        <v>62</v>
      </c>
      <c r="H18" s="18"/>
      <c r="I18" s="28" t="n">
        <f aca="false">SUMPRODUCT(--(Checklist!$H$115:$H$121=TRUE()),Checklist!$G$115:$G$121)</f>
        <v>15</v>
      </c>
      <c r="J18" s="28" t="n">
        <f aca="false">COUNTIFS(Checklist!$H$115:$H$121,TRUE(),Checklist!$I$115:$I$121,TRUE())</f>
        <v>0</v>
      </c>
      <c r="K18" s="28" t="n">
        <f aca="false">COUNTIF(Checklist!$H$115:$H$121,TRUE())</f>
        <v>1</v>
      </c>
      <c r="L18" s="29" t="n">
        <f aca="false">IFERROR(J18/K18,0)</f>
        <v>0</v>
      </c>
      <c r="M18" s="30" t="s">
        <v>64</v>
      </c>
    </row>
    <row r="19" customFormat="false" ht="15" hidden="false" customHeight="false" outlineLevel="0" collapsed="false">
      <c r="A19" s="10" t="n">
        <v>46162</v>
      </c>
      <c r="B19" s="16" t="s">
        <v>21</v>
      </c>
      <c r="C19" s="12" t="s">
        <v>38</v>
      </c>
      <c r="D19" s="23" t="s">
        <v>61</v>
      </c>
      <c r="E19" s="24"/>
      <c r="F19" s="24"/>
      <c r="G19" s="23" t="s">
        <v>62</v>
      </c>
      <c r="H19" s="13"/>
      <c r="I19" s="24" t="n">
        <f aca="false">SUMPRODUCT(--(Checklist!$H$122:$H$127=TRUE()),Checklist!$G$122:$G$127)</f>
        <v>15</v>
      </c>
      <c r="J19" s="24" t="n">
        <f aca="false">COUNTIFS(Checklist!$H$122:$H$127,TRUE(),Checklist!$I$122:$I$127,TRUE())</f>
        <v>0</v>
      </c>
      <c r="K19" s="24" t="n">
        <f aca="false">COUNTIF(Checklist!$H$122:$H$127,TRUE())</f>
        <v>1</v>
      </c>
      <c r="L19" s="25" t="n">
        <f aca="false">IFERROR(J19/K19,0)</f>
        <v>0</v>
      </c>
      <c r="M19" s="26" t="s">
        <v>65</v>
      </c>
    </row>
    <row r="20" customFormat="false" ht="15" hidden="false" customHeight="false" outlineLevel="0" collapsed="false">
      <c r="A20" s="15" t="n">
        <v>46161</v>
      </c>
      <c r="B20" s="20" t="s">
        <v>27</v>
      </c>
      <c r="C20" s="17" t="s">
        <v>39</v>
      </c>
      <c r="D20" s="27" t="s">
        <v>61</v>
      </c>
      <c r="E20" s="28"/>
      <c r="F20" s="28"/>
      <c r="G20" s="27" t="s">
        <v>62</v>
      </c>
      <c r="H20" s="18"/>
      <c r="I20" s="28" t="n">
        <f aca="false">SUMPRODUCT(--(Checklist!$H$128:$H$134=TRUE()),Checklist!$G$128:$G$134)</f>
        <v>15</v>
      </c>
      <c r="J20" s="28" t="n">
        <f aca="false">COUNTIFS(Checklist!$H$128:$H$134,TRUE(),Checklist!$I$128:$I$134,TRUE())</f>
        <v>0</v>
      </c>
      <c r="K20" s="28" t="n">
        <f aca="false">COUNTIF(Checklist!$H$128:$H$134,TRUE())</f>
        <v>1</v>
      </c>
      <c r="L20" s="29" t="n">
        <f aca="false">IFERROR(J20/K20,0)</f>
        <v>0</v>
      </c>
      <c r="M20" s="30" t="s">
        <v>67</v>
      </c>
    </row>
    <row r="21" customFormat="false" ht="15" hidden="false" customHeight="false" outlineLevel="0" collapsed="false">
      <c r="A21" s="10" t="n">
        <v>46161</v>
      </c>
      <c r="B21" s="21" t="s">
        <v>29</v>
      </c>
      <c r="C21" s="12" t="s">
        <v>40</v>
      </c>
      <c r="D21" s="23" t="s">
        <v>61</v>
      </c>
      <c r="E21" s="24"/>
      <c r="F21" s="24"/>
      <c r="G21" s="23" t="s">
        <v>62</v>
      </c>
      <c r="H21" s="13"/>
      <c r="I21" s="24" t="n">
        <f aca="false">SUMPRODUCT(--(Checklist!$H$135:$H$142=TRUE()),Checklist!$G$135:$G$142)</f>
        <v>15</v>
      </c>
      <c r="J21" s="24" t="n">
        <f aca="false">COUNTIFS(Checklist!$H$135:$H$142,TRUE(),Checklist!$I$135:$I$142,TRUE())</f>
        <v>0</v>
      </c>
      <c r="K21" s="24" t="n">
        <f aca="false">COUNTIF(Checklist!$H$135:$H$142,TRUE())</f>
        <v>1</v>
      </c>
      <c r="L21" s="25" t="n">
        <f aca="false">IFERROR(J21/K21,0)</f>
        <v>0</v>
      </c>
      <c r="M21" s="26" t="s">
        <v>64</v>
      </c>
    </row>
    <row r="22" customFormat="false" ht="15" hidden="false" customHeight="false" outlineLevel="0" collapsed="false">
      <c r="A22" s="15" t="n">
        <v>46161</v>
      </c>
      <c r="B22" s="21" t="s">
        <v>29</v>
      </c>
      <c r="C22" s="17" t="s">
        <v>41</v>
      </c>
      <c r="D22" s="27" t="s">
        <v>61</v>
      </c>
      <c r="E22" s="28"/>
      <c r="F22" s="28"/>
      <c r="G22" s="27" t="s">
        <v>62</v>
      </c>
      <c r="H22" s="18"/>
      <c r="I22" s="28" t="n">
        <f aca="false">SUMPRODUCT(--(Checklist!$H$143:$H$148=TRUE()),Checklist!$G$143:$G$148)</f>
        <v>15</v>
      </c>
      <c r="J22" s="28" t="n">
        <f aca="false">COUNTIFS(Checklist!$H$143:$H$148,TRUE(),Checklist!$I$143:$I$148,TRUE())</f>
        <v>0</v>
      </c>
      <c r="K22" s="28" t="n">
        <f aca="false">COUNTIF(Checklist!$H$143:$H$148,TRUE())</f>
        <v>1</v>
      </c>
      <c r="L22" s="29" t="n">
        <f aca="false">IFERROR(J22/K22,0)</f>
        <v>0</v>
      </c>
      <c r="M22" s="30" t="s">
        <v>66</v>
      </c>
    </row>
    <row r="23" customFormat="false" ht="15" hidden="false" customHeight="false" outlineLevel="0" collapsed="false">
      <c r="A23" s="10" t="n">
        <v>46162</v>
      </c>
      <c r="B23" s="20" t="s">
        <v>27</v>
      </c>
      <c r="C23" s="12" t="s">
        <v>42</v>
      </c>
      <c r="D23" s="23" t="s">
        <v>61</v>
      </c>
      <c r="E23" s="24"/>
      <c r="F23" s="24"/>
      <c r="G23" s="23" t="s">
        <v>62</v>
      </c>
      <c r="H23" s="13"/>
      <c r="I23" s="24" t="n">
        <f aca="false">SUMPRODUCT(--(Checklist!$H$149:$H$156=TRUE()),Checklist!$G$149:$G$156)</f>
        <v>15</v>
      </c>
      <c r="J23" s="24" t="n">
        <f aca="false">COUNTIFS(Checklist!$H$149:$H$156,TRUE(),Checklist!$I$149:$I$156,TRUE())</f>
        <v>0</v>
      </c>
      <c r="K23" s="24" t="n">
        <f aca="false">COUNTIF(Checklist!$H$149:$H$156,TRUE())</f>
        <v>1</v>
      </c>
      <c r="L23" s="25" t="n">
        <f aca="false">IFERROR(J23/K23,0)</f>
        <v>0</v>
      </c>
      <c r="M23" s="26" t="s">
        <v>68</v>
      </c>
    </row>
    <row r="24" customFormat="false" ht="15" hidden="false" customHeight="false" outlineLevel="0" collapsed="false">
      <c r="A24" s="15" t="n">
        <v>46162</v>
      </c>
      <c r="B24" s="21" t="s">
        <v>29</v>
      </c>
      <c r="C24" s="17" t="s">
        <v>43</v>
      </c>
      <c r="D24" s="27" t="s">
        <v>61</v>
      </c>
      <c r="E24" s="28"/>
      <c r="F24" s="28"/>
      <c r="G24" s="27" t="s">
        <v>62</v>
      </c>
      <c r="H24" s="18"/>
      <c r="I24" s="28" t="n">
        <f aca="false">SUMPRODUCT(--(Checklist!$H$157:$H$163=TRUE()),Checklist!$G$157:$G$163)</f>
        <v>15</v>
      </c>
      <c r="J24" s="28" t="n">
        <f aca="false">COUNTIFS(Checklist!$H$157:$H$163,TRUE(),Checklist!$I$157:$I$163,TRUE())</f>
        <v>0</v>
      </c>
      <c r="K24" s="28" t="n">
        <f aca="false">COUNTIF(Checklist!$H$157:$H$163,TRUE())</f>
        <v>1</v>
      </c>
      <c r="L24" s="29" t="n">
        <f aca="false">IFERROR(J24/K24,0)</f>
        <v>0</v>
      </c>
      <c r="M24" s="30" t="s">
        <v>64</v>
      </c>
    </row>
    <row r="25" customFormat="false" ht="15" hidden="false" customHeight="false" outlineLevel="0" collapsed="false">
      <c r="A25" s="10" t="n">
        <v>46164</v>
      </c>
      <c r="B25" s="21" t="s">
        <v>29</v>
      </c>
      <c r="C25" s="12" t="s">
        <v>44</v>
      </c>
      <c r="D25" s="23" t="s">
        <v>61</v>
      </c>
      <c r="E25" s="24"/>
      <c r="F25" s="24"/>
      <c r="G25" s="23" t="s">
        <v>62</v>
      </c>
      <c r="H25" s="13"/>
      <c r="I25" s="24" t="n">
        <f aca="false">SUMPRODUCT(--(Checklist!$H$164:$H$168=TRUE()),Checklist!$G$164:$G$168)</f>
        <v>15</v>
      </c>
      <c r="J25" s="24" t="n">
        <f aca="false">COUNTIFS(Checklist!$H$164:$H$168,TRUE(),Checklist!$I$164:$I$168,TRUE())</f>
        <v>0</v>
      </c>
      <c r="K25" s="24" t="n">
        <f aca="false">COUNTIF(Checklist!$H$164:$H$168,TRUE())</f>
        <v>1</v>
      </c>
      <c r="L25" s="25" t="n">
        <f aca="false">IFERROR(J25/K25,0)</f>
        <v>0</v>
      </c>
      <c r="M25" s="26" t="s">
        <v>63</v>
      </c>
    </row>
    <row r="26" customFormat="false" ht="15" hidden="false" customHeight="false" outlineLevel="0" collapsed="false">
      <c r="A26" s="15" t="n">
        <v>46169</v>
      </c>
      <c r="B26" s="16" t="s">
        <v>21</v>
      </c>
      <c r="C26" s="17" t="s">
        <v>45</v>
      </c>
      <c r="D26" s="27" t="s">
        <v>61</v>
      </c>
      <c r="E26" s="28"/>
      <c r="F26" s="28"/>
      <c r="G26" s="27" t="s">
        <v>62</v>
      </c>
      <c r="H26" s="18"/>
      <c r="I26" s="28" t="n">
        <f aca="false">SUMPRODUCT(--(Checklist!$H$169:$H$172=TRUE()),Checklist!$G$169:$G$172)</f>
        <v>15</v>
      </c>
      <c r="J26" s="28" t="n">
        <f aca="false">COUNTIFS(Checklist!$H$169:$H$172,TRUE(),Checklist!$I$169:$I$172,TRUE())</f>
        <v>0</v>
      </c>
      <c r="K26" s="28" t="n">
        <f aca="false">COUNTIF(Checklist!$H$169:$H$172,TRUE())</f>
        <v>1</v>
      </c>
      <c r="L26" s="29" t="n">
        <f aca="false">IFERROR(J26/K26,0)</f>
        <v>0</v>
      </c>
      <c r="M26" s="30" t="s">
        <v>63</v>
      </c>
    </row>
    <row r="27" customFormat="false" ht="15" hidden="false" customHeight="false" outlineLevel="0" collapsed="false">
      <c r="A27" s="10" t="n">
        <v>46170</v>
      </c>
      <c r="B27" s="20" t="s">
        <v>27</v>
      </c>
      <c r="C27" s="12" t="s">
        <v>46</v>
      </c>
      <c r="D27" s="23" t="s">
        <v>61</v>
      </c>
      <c r="E27" s="24"/>
      <c r="F27" s="24"/>
      <c r="G27" s="23" t="s">
        <v>62</v>
      </c>
      <c r="H27" s="13"/>
      <c r="I27" s="24" t="n">
        <f aca="false">SUMPRODUCT(--(Checklist!$H$173:$H$181=TRUE()),Checklist!$G$173:$G$181)</f>
        <v>15</v>
      </c>
      <c r="J27" s="24" t="n">
        <f aca="false">COUNTIFS(Checklist!$H$173:$H$181,TRUE(),Checklist!$I$173:$I$181,TRUE())</f>
        <v>0</v>
      </c>
      <c r="K27" s="24" t="n">
        <f aca="false">COUNTIF(Checklist!$H$173:$H$181,TRUE())</f>
        <v>1</v>
      </c>
      <c r="L27" s="25" t="n">
        <f aca="false">IFERROR(J27/K27,0)</f>
        <v>0</v>
      </c>
      <c r="M27" s="26" t="s">
        <v>69</v>
      </c>
    </row>
    <row r="28" customFormat="false" ht="15" hidden="false" customHeight="false" outlineLevel="0" collapsed="false">
      <c r="A28" s="15" t="n">
        <v>46170</v>
      </c>
      <c r="B28" s="21" t="s">
        <v>29</v>
      </c>
      <c r="C28" s="17" t="s">
        <v>47</v>
      </c>
      <c r="D28" s="27" t="s">
        <v>61</v>
      </c>
      <c r="E28" s="28"/>
      <c r="F28" s="28"/>
      <c r="G28" s="27" t="s">
        <v>62</v>
      </c>
      <c r="H28" s="18"/>
      <c r="I28" s="28" t="n">
        <f aca="false">SUMPRODUCT(--(Checklist!$H$182:$H$187=TRUE()),Checklist!$G$182:$G$187)</f>
        <v>15</v>
      </c>
      <c r="J28" s="28" t="n">
        <f aca="false">COUNTIFS(Checklist!$H$182:$H$187,TRUE(),Checklist!$I$182:$I$187,TRUE())</f>
        <v>0</v>
      </c>
      <c r="K28" s="28" t="n">
        <f aca="false">COUNTIF(Checklist!$H$182:$H$187,TRUE())</f>
        <v>1</v>
      </c>
      <c r="L28" s="29" t="n">
        <f aca="false">IFERROR(J28/K28,0)</f>
        <v>0</v>
      </c>
      <c r="M28" s="30" t="s">
        <v>66</v>
      </c>
    </row>
    <row r="29" customFormat="false" ht="15" hidden="false" customHeight="false" outlineLevel="0" collapsed="false">
      <c r="A29" s="10" t="n">
        <v>46171</v>
      </c>
      <c r="B29" s="21" t="s">
        <v>29</v>
      </c>
      <c r="C29" s="12" t="s">
        <v>48</v>
      </c>
      <c r="D29" s="23" t="s">
        <v>61</v>
      </c>
      <c r="E29" s="24"/>
      <c r="F29" s="24"/>
      <c r="G29" s="23" t="s">
        <v>62</v>
      </c>
      <c r="H29" s="13"/>
      <c r="I29" s="24" t="n">
        <f aca="false">SUMPRODUCT(--(Checklist!$H$188:$H$191=TRUE()),Checklist!$G$188:$G$191)</f>
        <v>15</v>
      </c>
      <c r="J29" s="24" t="n">
        <f aca="false">COUNTIFS(Checklist!$H$188:$H$191,TRUE(),Checklist!$I$188:$I$191,TRUE())</f>
        <v>0</v>
      </c>
      <c r="K29" s="24" t="n">
        <f aca="false">COUNTIF(Checklist!$H$188:$H$191,TRUE())</f>
        <v>1</v>
      </c>
      <c r="L29" s="25" t="n">
        <f aca="false">IFERROR(J29/K29,0)</f>
        <v>0</v>
      </c>
      <c r="M29" s="26" t="s">
        <v>63</v>
      </c>
    </row>
  </sheetData>
  <mergeCells count="2">
    <mergeCell ref="A1:M1"/>
    <mergeCell ref="A2:M2"/>
  </mergeCells>
  <dataValidations count="27">
    <dataValidation allowBlank="false" errorStyle="stop" operator="between" showDropDown="false" showErrorMessage="false" showInputMessage="false" sqref="D5:D29" type="list">
      <formula1>"Yes,No"</formula1>
      <formula2>0</formula2>
    </dataValidation>
    <dataValidation allowBlank="true" errorStyle="stop" operator="between" showDropDown="false" showErrorMessage="false" showInputMessage="false" sqref="E5:F5" type="list">
      <formula1>"Bootcamp,Boards &amp; Beyond"</formula1>
      <formula2>0</formula2>
    </dataValidation>
    <dataValidation allowBlank="true" errorStyle="stop" operator="between" showDropDown="false" showErrorMessage="false" showInputMessage="false" sqref="E6:F6" type="list">
      <formula1>"Bootcamp,Boards &amp; Beyond,Sketchy Pharm,Sketchy Path"</formula1>
      <formula2>0</formula2>
    </dataValidation>
    <dataValidation allowBlank="true" errorStyle="stop" operator="between" showDropDown="false" showErrorMessage="false" showInputMessage="false" sqref="E7:F7" type="list">
      <formula1>"Bootcamp,Boards &amp; Beyond,Sketchy Path"</formula1>
      <formula2>0</formula2>
    </dataValidation>
    <dataValidation allowBlank="true" errorStyle="stop" operator="between" showDropDown="false" showErrorMessage="false" showInputMessage="false" sqref="E8:F8" type="list">
      <formula1>"Bootcamp,Boards &amp; Beyond,Sketchy Pharm"</formula1>
      <formula2>0</formula2>
    </dataValidation>
    <dataValidation allowBlank="true" errorStyle="stop" operator="between" showDropDown="false" showErrorMessage="false" showInputMessage="false" sqref="E9:F9" type="list">
      <formula1>"Bootcamp,Boards &amp; Beyond,Sketchy Pharm,Sketchy Path"</formula1>
      <formula2>0</formula2>
    </dataValidation>
    <dataValidation allowBlank="true" errorStyle="stop" operator="between" showDropDown="false" showErrorMessage="false" showInputMessage="false" sqref="E10:F10" type="list">
      <formula1>"Bootcamp,Boards &amp; Beyond,Sketchy Pharm,Sketchy Path"</formula1>
      <formula2>0</formula2>
    </dataValidation>
    <dataValidation allowBlank="true" errorStyle="stop" operator="between" showDropDown="false" showErrorMessage="false" showInputMessage="false" sqref="E11:F11" type="list">
      <formula1>"Bootcamp,Pathoma,Boards &amp; Beyond,Sketchy Path"</formula1>
      <formula2>0</formula2>
    </dataValidation>
    <dataValidation allowBlank="true" errorStyle="stop" operator="between" showDropDown="false" showErrorMessage="false" showInputMessage="false" sqref="E12:F12" type="list">
      <formula1>"Bootcamp,Boards &amp; Beyond,Sketchy Pharm,Sketchy Path"</formula1>
      <formula2>0</formula2>
    </dataValidation>
    <dataValidation allowBlank="true" errorStyle="stop" operator="between" showDropDown="false" showErrorMessage="false" showInputMessage="false" sqref="E13:F13" type="list">
      <formula1>"Bootcamp,Boards &amp; Beyond,Sketchy Pharm,Sketchy Path"</formula1>
      <formula2>0</formula2>
    </dataValidation>
    <dataValidation allowBlank="true" errorStyle="stop" operator="between" showDropDown="false" showErrorMessage="false" showInputMessage="false" sqref="E14:F14" type="list">
      <formula1>"Bootcamp,Boards &amp; Beyond,Sketchy Path"</formula1>
      <formula2>0</formula2>
    </dataValidation>
    <dataValidation allowBlank="true" errorStyle="stop" operator="between" showDropDown="false" showErrorMessage="false" showInputMessage="false" sqref="E15:F15" type="list">
      <formula1>"Bootcamp,Pathoma,Boards &amp; Beyond,Sketchy Pharm,Sketchy Path"</formula1>
      <formula2>0</formula2>
    </dataValidation>
    <dataValidation allowBlank="true" errorStyle="stop" operator="between" showDropDown="false" showErrorMessage="false" showInputMessage="false" sqref="E16:F16" type="list">
      <formula1>"Bootcamp,Boards &amp; Beyond,Sketchy Path"</formula1>
      <formula2>0</formula2>
    </dataValidation>
    <dataValidation allowBlank="true" errorStyle="stop" operator="between" showDropDown="false" showErrorMessage="false" showInputMessage="false" sqref="E17:F17" type="list">
      <formula1>"Bootcamp,Pathoma,Boards &amp; Beyond,Sketchy Pharm,Sketchy Path"</formula1>
      <formula2>0</formula2>
    </dataValidation>
    <dataValidation allowBlank="true" errorStyle="stop" operator="between" showDropDown="false" showErrorMessage="false" showInputMessage="false" sqref="E18:F18" type="list">
      <formula1>"Bootcamp,Boards &amp; Beyond,Sketchy Pharm,Sketchy Path"</formula1>
      <formula2>0</formula2>
    </dataValidation>
    <dataValidation allowBlank="true" errorStyle="stop" operator="between" showDropDown="false" showErrorMessage="false" showInputMessage="false" sqref="E19:F19" type="list">
      <formula1>"Bootcamp,Boards &amp; Beyond,Sketchy Path"</formula1>
      <formula2>0</formula2>
    </dataValidation>
    <dataValidation allowBlank="true" errorStyle="stop" operator="between" showDropDown="false" showErrorMessage="false" showInputMessage="false" sqref="E20:F20" type="list">
      <formula1>"Bootcamp,Pathoma,Boards &amp; Beyond,Sketchy Path"</formula1>
      <formula2>0</formula2>
    </dataValidation>
    <dataValidation allowBlank="true" errorStyle="stop" operator="between" showDropDown="false" showErrorMessage="false" showInputMessage="false" sqref="E21:F21" type="list">
      <formula1>"Bootcamp,Boards &amp; Beyond,Sketchy Pharm,Sketchy Path"</formula1>
      <formula2>0</formula2>
    </dataValidation>
    <dataValidation allowBlank="true" errorStyle="stop" operator="between" showDropDown="false" showErrorMessage="false" showInputMessage="false" sqref="E22:F22" type="list">
      <formula1>"Bootcamp,Boards &amp; Beyond,Sketchy Pharm"</formula1>
      <formula2>0</formula2>
    </dataValidation>
    <dataValidation allowBlank="true" errorStyle="stop" operator="between" showDropDown="false" showErrorMessage="false" showInputMessage="false" sqref="E23:F23" type="list">
      <formula1>"Bootcamp,Pathoma,Boards &amp; Beyond,Sketchy Pharm,Sketchy Path"</formula1>
      <formula2>0</formula2>
    </dataValidation>
    <dataValidation allowBlank="true" errorStyle="stop" operator="between" showDropDown="false" showErrorMessage="false" showInputMessage="false" sqref="E24:F24" type="list">
      <formula1>"Bootcamp,Boards &amp; Beyond,Sketchy Pharm,Sketchy Path"</formula1>
      <formula2>0</formula2>
    </dataValidation>
    <dataValidation allowBlank="true" errorStyle="stop" operator="between" showDropDown="false" showErrorMessage="false" showInputMessage="false" sqref="E25:F25" type="list">
      <formula1>"Bootcamp,Boards &amp; Beyond"</formula1>
      <formula2>0</formula2>
    </dataValidation>
    <dataValidation allowBlank="true" errorStyle="stop" operator="between" showDropDown="false" showErrorMessage="false" showInputMessage="false" sqref="E26:F26" type="list">
      <formula1>"Bootcamp,Boards &amp; Beyond"</formula1>
      <formula2>0</formula2>
    </dataValidation>
    <dataValidation allowBlank="true" errorStyle="stop" operator="between" showDropDown="false" showErrorMessage="false" showInputMessage="false" sqref="E27:F27" type="list">
      <formula1>"Bootcamp,Pathoma,Sketchy Path"</formula1>
      <formula2>0</formula2>
    </dataValidation>
    <dataValidation allowBlank="true" errorStyle="stop" operator="between" showDropDown="false" showErrorMessage="false" showInputMessage="false" sqref="E28:F28" type="list">
      <formula1>"Bootcamp,Boards &amp; Beyond,Sketchy Pharm"</formula1>
      <formula2>0</formula2>
    </dataValidation>
    <dataValidation allowBlank="true" errorStyle="stop" operator="between" showDropDown="false" showErrorMessage="false" showInputMessage="false" sqref="E29:F29" type="list">
      <formula1>"Bootcamp,Boards &amp; Beyond"</formula1>
      <formula2>0</formula2>
    </dataValidation>
    <dataValidation allowBlank="false" errorStyle="stop" operator="between" showDropDown="false" showErrorMessage="false" showInputMessage="false" sqref="G5:G29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36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5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27.75" hidden="false" customHeight="true" outlineLevel="0" collapsed="false">
      <c r="A4" s="9" t="s">
        <v>11</v>
      </c>
      <c r="B4" s="9" t="s">
        <v>12</v>
      </c>
      <c r="C4" s="9" t="s">
        <v>13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55</v>
      </c>
    </row>
    <row r="5" customFormat="false" ht="15" hidden="false" customHeight="false" outlineLevel="0" collapsed="false">
      <c r="A5" s="10" t="n">
        <v>46132</v>
      </c>
      <c r="B5" s="11" t="s">
        <v>19</v>
      </c>
      <c r="C5" s="12" t="s">
        <v>20</v>
      </c>
      <c r="D5" s="24" t="n">
        <v>1</v>
      </c>
      <c r="E5" s="31" t="s">
        <v>78</v>
      </c>
      <c r="F5" s="12" t="s">
        <v>79</v>
      </c>
      <c r="G5" s="24" t="n">
        <v>15</v>
      </c>
      <c r="H5" s="32" t="b">
        <f aca="false">TRUE()</f>
        <v>1</v>
      </c>
      <c r="I5" s="32" t="b">
        <f aca="false">FALSE()</f>
        <v>0</v>
      </c>
      <c r="J5" s="13"/>
    </row>
    <row r="6" customFormat="false" ht="15" hidden="false" customHeight="false" outlineLevel="0" collapsed="false">
      <c r="A6" s="10" t="n">
        <v>46132</v>
      </c>
      <c r="B6" s="11" t="s">
        <v>19</v>
      </c>
      <c r="C6" s="12" t="s">
        <v>20</v>
      </c>
      <c r="D6" s="24" t="n">
        <v>2</v>
      </c>
      <c r="E6" s="33" t="s">
        <v>80</v>
      </c>
      <c r="F6" s="12" t="s">
        <v>81</v>
      </c>
      <c r="G6" s="24" t="n">
        <v>60</v>
      </c>
      <c r="H6" s="32" t="b">
        <f aca="false">Planner!$D5="Yes"</f>
        <v>0</v>
      </c>
      <c r="I6" s="32" t="b">
        <f aca="false">FALSE()</f>
        <v>0</v>
      </c>
      <c r="J6" s="13"/>
    </row>
    <row r="7" customFormat="false" ht="15" hidden="false" customHeight="false" outlineLevel="0" collapsed="false">
      <c r="A7" s="10" t="n">
        <v>46132</v>
      </c>
      <c r="B7" s="11" t="s">
        <v>19</v>
      </c>
      <c r="C7" s="12" t="s">
        <v>20</v>
      </c>
      <c r="D7" s="24" t="n">
        <v>3</v>
      </c>
      <c r="E7" s="24" t="s">
        <v>82</v>
      </c>
      <c r="F7" s="12" t="s">
        <v>83</v>
      </c>
      <c r="G7" s="24" t="n">
        <v>29</v>
      </c>
      <c r="H7" s="32" t="b">
        <f aca="false">OR(Planner!$E$5=$E7,Planner!$F$5=$E7)</f>
        <v>0</v>
      </c>
      <c r="I7" s="32" t="b">
        <f aca="false">FALSE()</f>
        <v>0</v>
      </c>
      <c r="J7" s="13"/>
    </row>
    <row r="8" customFormat="false" ht="15" hidden="false" customHeight="false" outlineLevel="0" collapsed="false">
      <c r="A8" s="10" t="n">
        <v>46132</v>
      </c>
      <c r="B8" s="11" t="s">
        <v>19</v>
      </c>
      <c r="C8" s="12" t="s">
        <v>20</v>
      </c>
      <c r="D8" s="24" t="n">
        <v>3</v>
      </c>
      <c r="E8" s="24" t="s">
        <v>84</v>
      </c>
      <c r="F8" s="12" t="s">
        <v>85</v>
      </c>
      <c r="G8" s="24" t="n">
        <v>28</v>
      </c>
      <c r="H8" s="32" t="b">
        <f aca="false">OR(Planner!$E$5=$E8,Planner!$F$5=$E8)</f>
        <v>0</v>
      </c>
      <c r="I8" s="32" t="b">
        <f aca="false">FALSE()</f>
        <v>0</v>
      </c>
      <c r="J8" s="13"/>
    </row>
    <row r="9" customFormat="false" ht="15" hidden="false" customHeight="false" outlineLevel="0" collapsed="false">
      <c r="A9" s="10" t="n">
        <v>46132</v>
      </c>
      <c r="B9" s="16" t="s">
        <v>21</v>
      </c>
      <c r="C9" s="12" t="s">
        <v>22</v>
      </c>
      <c r="D9" s="24" t="n">
        <v>1</v>
      </c>
      <c r="E9" s="31" t="s">
        <v>78</v>
      </c>
      <c r="F9" s="12" t="s">
        <v>79</v>
      </c>
      <c r="G9" s="24" t="n">
        <v>15</v>
      </c>
      <c r="H9" s="32" t="b">
        <f aca="false">TRUE()</f>
        <v>1</v>
      </c>
      <c r="I9" s="32" t="b">
        <f aca="false">FALSE()</f>
        <v>0</v>
      </c>
      <c r="J9" s="13"/>
    </row>
    <row r="10" customFormat="false" ht="15" hidden="false" customHeight="false" outlineLevel="0" collapsed="false">
      <c r="A10" s="10" t="n">
        <v>46132</v>
      </c>
      <c r="B10" s="16" t="s">
        <v>21</v>
      </c>
      <c r="C10" s="12" t="s">
        <v>22</v>
      </c>
      <c r="D10" s="24" t="n">
        <v>2</v>
      </c>
      <c r="E10" s="33" t="s">
        <v>80</v>
      </c>
      <c r="F10" s="12" t="s">
        <v>81</v>
      </c>
      <c r="G10" s="24" t="n">
        <v>60</v>
      </c>
      <c r="H10" s="32" t="b">
        <f aca="false">Planner!$D6="Yes"</f>
        <v>0</v>
      </c>
      <c r="I10" s="32" t="b">
        <f aca="false">FALSE()</f>
        <v>0</v>
      </c>
      <c r="J10" s="13"/>
    </row>
    <row r="11" customFormat="false" ht="15" hidden="false" customHeight="false" outlineLevel="0" collapsed="false">
      <c r="A11" s="10" t="n">
        <v>46132</v>
      </c>
      <c r="B11" s="16" t="s">
        <v>21</v>
      </c>
      <c r="C11" s="12" t="s">
        <v>22</v>
      </c>
      <c r="D11" s="24" t="n">
        <v>3</v>
      </c>
      <c r="E11" s="24" t="s">
        <v>82</v>
      </c>
      <c r="F11" s="12" t="s">
        <v>83</v>
      </c>
      <c r="G11" s="24" t="n">
        <v>29</v>
      </c>
      <c r="H11" s="32" t="b">
        <f aca="false">OR(Planner!$E$6=$E11,Planner!$F$6=$E11)</f>
        <v>0</v>
      </c>
      <c r="I11" s="32" t="b">
        <f aca="false">FALSE()</f>
        <v>0</v>
      </c>
      <c r="J11" s="13"/>
    </row>
    <row r="12" customFormat="false" ht="15" hidden="false" customHeight="false" outlineLevel="0" collapsed="false">
      <c r="A12" s="10" t="n">
        <v>46132</v>
      </c>
      <c r="B12" s="16" t="s">
        <v>21</v>
      </c>
      <c r="C12" s="12" t="s">
        <v>22</v>
      </c>
      <c r="D12" s="24" t="n">
        <v>3</v>
      </c>
      <c r="E12" s="24" t="s">
        <v>84</v>
      </c>
      <c r="F12" s="12" t="s">
        <v>85</v>
      </c>
      <c r="G12" s="24" t="n">
        <v>28</v>
      </c>
      <c r="H12" s="32" t="b">
        <f aca="false">OR(Planner!$E$6=$E12,Planner!$F$6=$E12)</f>
        <v>0</v>
      </c>
      <c r="I12" s="32" t="b">
        <f aca="false">FALSE()</f>
        <v>0</v>
      </c>
      <c r="J12" s="13"/>
    </row>
    <row r="13" customFormat="false" ht="15" hidden="false" customHeight="false" outlineLevel="0" collapsed="false">
      <c r="A13" s="10" t="n">
        <v>46132</v>
      </c>
      <c r="B13" s="16" t="s">
        <v>21</v>
      </c>
      <c r="C13" s="12" t="s">
        <v>22</v>
      </c>
      <c r="D13" s="24" t="n">
        <v>3</v>
      </c>
      <c r="E13" s="24" t="s">
        <v>86</v>
      </c>
      <c r="F13" s="12" t="s">
        <v>87</v>
      </c>
      <c r="G13" s="24" t="n">
        <v>12</v>
      </c>
      <c r="H13" s="32" t="b">
        <f aca="false">OR(Planner!$E$6=$E13,Planner!$F$6=$E13)</f>
        <v>0</v>
      </c>
      <c r="I13" s="32" t="b">
        <f aca="false">FALSE()</f>
        <v>0</v>
      </c>
      <c r="J13" s="13"/>
    </row>
    <row r="14" customFormat="false" ht="15" hidden="false" customHeight="false" outlineLevel="0" collapsed="false">
      <c r="A14" s="10" t="n">
        <v>46132</v>
      </c>
      <c r="B14" s="16" t="s">
        <v>21</v>
      </c>
      <c r="C14" s="12" t="s">
        <v>22</v>
      </c>
      <c r="D14" s="24" t="n">
        <v>3</v>
      </c>
      <c r="E14" s="24" t="s">
        <v>86</v>
      </c>
      <c r="F14" s="12" t="s">
        <v>88</v>
      </c>
      <c r="G14" s="24" t="n">
        <v>25</v>
      </c>
      <c r="H14" s="32" t="b">
        <f aca="false">OR(Planner!$E$6=$E14,Planner!$F$6=$E14)</f>
        <v>0</v>
      </c>
      <c r="I14" s="32" t="b">
        <f aca="false">FALSE()</f>
        <v>0</v>
      </c>
      <c r="J14" s="13"/>
    </row>
    <row r="15" customFormat="false" ht="15" hidden="false" customHeight="false" outlineLevel="0" collapsed="false">
      <c r="A15" s="10" t="n">
        <v>46135</v>
      </c>
      <c r="B15" s="11" t="s">
        <v>19</v>
      </c>
      <c r="C15" s="12" t="s">
        <v>23</v>
      </c>
      <c r="D15" s="24" t="n">
        <v>1</v>
      </c>
      <c r="E15" s="31" t="s">
        <v>78</v>
      </c>
      <c r="F15" s="12" t="s">
        <v>79</v>
      </c>
      <c r="G15" s="24" t="n">
        <v>15</v>
      </c>
      <c r="H15" s="32" t="b">
        <f aca="false">TRUE()</f>
        <v>1</v>
      </c>
      <c r="I15" s="32" t="b">
        <f aca="false">FALSE()</f>
        <v>0</v>
      </c>
      <c r="J15" s="13"/>
    </row>
    <row r="16" customFormat="false" ht="15" hidden="false" customHeight="false" outlineLevel="0" collapsed="false">
      <c r="A16" s="10" t="n">
        <v>46135</v>
      </c>
      <c r="B16" s="11" t="s">
        <v>19</v>
      </c>
      <c r="C16" s="12" t="s">
        <v>23</v>
      </c>
      <c r="D16" s="24" t="n">
        <v>2</v>
      </c>
      <c r="E16" s="33" t="s">
        <v>80</v>
      </c>
      <c r="F16" s="12" t="s">
        <v>81</v>
      </c>
      <c r="G16" s="24" t="n">
        <v>60</v>
      </c>
      <c r="H16" s="32" t="b">
        <f aca="false">Planner!$D7="Yes"</f>
        <v>0</v>
      </c>
      <c r="I16" s="32" t="b">
        <f aca="false">FALSE()</f>
        <v>0</v>
      </c>
      <c r="J16" s="13"/>
    </row>
    <row r="17" customFormat="false" ht="15" hidden="false" customHeight="false" outlineLevel="0" collapsed="false">
      <c r="A17" s="10" t="n">
        <v>46135</v>
      </c>
      <c r="B17" s="11" t="s">
        <v>19</v>
      </c>
      <c r="C17" s="12" t="s">
        <v>23</v>
      </c>
      <c r="D17" s="24" t="n">
        <v>3</v>
      </c>
      <c r="E17" s="24" t="s">
        <v>82</v>
      </c>
      <c r="F17" s="12" t="s">
        <v>89</v>
      </c>
      <c r="G17" s="24" t="n">
        <v>153</v>
      </c>
      <c r="H17" s="32" t="b">
        <f aca="false">OR(Planner!$E$7=$E17,Planner!$F$7=$E17)</f>
        <v>0</v>
      </c>
      <c r="I17" s="32" t="b">
        <f aca="false">FALSE()</f>
        <v>0</v>
      </c>
      <c r="J17" s="13"/>
    </row>
    <row r="18" customFormat="false" ht="15" hidden="false" customHeight="false" outlineLevel="0" collapsed="false">
      <c r="A18" s="10" t="n">
        <v>46135</v>
      </c>
      <c r="B18" s="11" t="s">
        <v>19</v>
      </c>
      <c r="C18" s="12" t="s">
        <v>23</v>
      </c>
      <c r="D18" s="24" t="n">
        <v>3</v>
      </c>
      <c r="E18" s="24" t="s">
        <v>84</v>
      </c>
      <c r="F18" s="12" t="s">
        <v>90</v>
      </c>
      <c r="G18" s="24" t="n">
        <v>72</v>
      </c>
      <c r="H18" s="32" t="b">
        <f aca="false">OR(Planner!$E$7=$E18,Planner!$F$7=$E18)</f>
        <v>0</v>
      </c>
      <c r="I18" s="32" t="b">
        <f aca="false">FALSE()</f>
        <v>0</v>
      </c>
      <c r="J18" s="13"/>
    </row>
    <row r="19" customFormat="false" ht="15" hidden="false" customHeight="false" outlineLevel="0" collapsed="false">
      <c r="A19" s="10" t="n">
        <v>46135</v>
      </c>
      <c r="B19" s="11" t="s">
        <v>19</v>
      </c>
      <c r="C19" s="12" t="s">
        <v>23</v>
      </c>
      <c r="D19" s="24" t="n">
        <v>3</v>
      </c>
      <c r="E19" s="24" t="s">
        <v>86</v>
      </c>
      <c r="F19" s="12" t="s">
        <v>91</v>
      </c>
      <c r="G19" s="24" t="n">
        <v>22</v>
      </c>
      <c r="H19" s="32" t="b">
        <f aca="false">OR(Planner!$E$7=$E19,Planner!$F$7=$E19)</f>
        <v>0</v>
      </c>
      <c r="I19" s="32" t="b">
        <f aca="false">FALSE()</f>
        <v>0</v>
      </c>
      <c r="J19" s="13"/>
    </row>
    <row r="20" customFormat="false" ht="23.85" hidden="false" customHeight="false" outlineLevel="0" collapsed="false">
      <c r="A20" s="10" t="n">
        <v>46135</v>
      </c>
      <c r="B20" s="11" t="s">
        <v>19</v>
      </c>
      <c r="C20" s="12" t="s">
        <v>23</v>
      </c>
      <c r="D20" s="24" t="n">
        <v>3</v>
      </c>
      <c r="E20" s="24" t="s">
        <v>86</v>
      </c>
      <c r="F20" s="12" t="s">
        <v>92</v>
      </c>
      <c r="G20" s="24" t="n">
        <v>25</v>
      </c>
      <c r="H20" s="32" t="b">
        <f aca="false">OR(Planner!$E$7=$E20,Planner!$F$7=$E20)</f>
        <v>0</v>
      </c>
      <c r="I20" s="32" t="b">
        <f aca="false">FALSE()</f>
        <v>0</v>
      </c>
      <c r="J20" s="13"/>
    </row>
    <row r="21" customFormat="false" ht="15" hidden="false" customHeight="false" outlineLevel="0" collapsed="false">
      <c r="A21" s="10" t="n">
        <v>46135</v>
      </c>
      <c r="B21" s="11" t="s">
        <v>19</v>
      </c>
      <c r="C21" s="12" t="s">
        <v>24</v>
      </c>
      <c r="D21" s="24" t="n">
        <v>1</v>
      </c>
      <c r="E21" s="31" t="s">
        <v>78</v>
      </c>
      <c r="F21" s="12" t="s">
        <v>79</v>
      </c>
      <c r="G21" s="24" t="n">
        <v>15</v>
      </c>
      <c r="H21" s="32" t="b">
        <f aca="false">TRUE()</f>
        <v>1</v>
      </c>
      <c r="I21" s="32" t="b">
        <f aca="false">FALSE()</f>
        <v>0</v>
      </c>
      <c r="J21" s="13"/>
    </row>
    <row r="22" customFormat="false" ht="15" hidden="false" customHeight="false" outlineLevel="0" collapsed="false">
      <c r="A22" s="10" t="n">
        <v>46135</v>
      </c>
      <c r="B22" s="11" t="s">
        <v>19</v>
      </c>
      <c r="C22" s="12" t="s">
        <v>24</v>
      </c>
      <c r="D22" s="24" t="n">
        <v>2</v>
      </c>
      <c r="E22" s="33" t="s">
        <v>80</v>
      </c>
      <c r="F22" s="12" t="s">
        <v>81</v>
      </c>
      <c r="G22" s="24" t="n">
        <v>60</v>
      </c>
      <c r="H22" s="32" t="b">
        <f aca="false">Planner!$D8="Yes"</f>
        <v>0</v>
      </c>
      <c r="I22" s="32" t="b">
        <f aca="false">FALSE()</f>
        <v>0</v>
      </c>
      <c r="J22" s="13"/>
    </row>
    <row r="23" customFormat="false" ht="15" hidden="false" customHeight="false" outlineLevel="0" collapsed="false">
      <c r="A23" s="10" t="n">
        <v>46135</v>
      </c>
      <c r="B23" s="11" t="s">
        <v>19</v>
      </c>
      <c r="C23" s="12" t="s">
        <v>24</v>
      </c>
      <c r="D23" s="24" t="n">
        <v>3</v>
      </c>
      <c r="E23" s="24" t="s">
        <v>82</v>
      </c>
      <c r="F23" s="12" t="s">
        <v>89</v>
      </c>
      <c r="G23" s="24" t="n">
        <v>153</v>
      </c>
      <c r="H23" s="32" t="b">
        <f aca="false">OR(Planner!$E$8=$E23,Planner!$F$8=$E23)</f>
        <v>0</v>
      </c>
      <c r="I23" s="32" t="b">
        <f aca="false">FALSE()</f>
        <v>0</v>
      </c>
      <c r="J23" s="13"/>
    </row>
    <row r="24" customFormat="false" ht="15" hidden="false" customHeight="false" outlineLevel="0" collapsed="false">
      <c r="A24" s="10" t="n">
        <v>46135</v>
      </c>
      <c r="B24" s="11" t="s">
        <v>19</v>
      </c>
      <c r="C24" s="12" t="s">
        <v>24</v>
      </c>
      <c r="D24" s="24" t="n">
        <v>3</v>
      </c>
      <c r="E24" s="24" t="s">
        <v>84</v>
      </c>
      <c r="F24" s="12" t="s">
        <v>90</v>
      </c>
      <c r="G24" s="24" t="n">
        <v>72</v>
      </c>
      <c r="H24" s="32" t="b">
        <f aca="false">OR(Planner!$E$8=$E24,Planner!$F$8=$E24)</f>
        <v>0</v>
      </c>
      <c r="I24" s="32" t="b">
        <f aca="false">FALSE()</f>
        <v>0</v>
      </c>
      <c r="J24" s="13"/>
    </row>
    <row r="25" customFormat="false" ht="15" hidden="false" customHeight="false" outlineLevel="0" collapsed="false">
      <c r="A25" s="10" t="n">
        <v>46135</v>
      </c>
      <c r="B25" s="11" t="s">
        <v>19</v>
      </c>
      <c r="C25" s="12" t="s">
        <v>24</v>
      </c>
      <c r="D25" s="24" t="n">
        <v>3</v>
      </c>
      <c r="E25" s="24" t="s">
        <v>84</v>
      </c>
      <c r="F25" s="12" t="s">
        <v>93</v>
      </c>
      <c r="G25" s="24" t="n">
        <v>57</v>
      </c>
      <c r="H25" s="32" t="b">
        <f aca="false">OR(Planner!$E$8=$E25,Planner!$F$8=$E25)</f>
        <v>0</v>
      </c>
      <c r="I25" s="32" t="b">
        <f aca="false">FALSE()</f>
        <v>0</v>
      </c>
      <c r="J25" s="13"/>
    </row>
    <row r="26" customFormat="false" ht="15" hidden="false" customHeight="false" outlineLevel="0" collapsed="false">
      <c r="A26" s="10" t="n">
        <v>46134</v>
      </c>
      <c r="B26" s="16" t="s">
        <v>21</v>
      </c>
      <c r="C26" s="12" t="s">
        <v>25</v>
      </c>
      <c r="D26" s="24" t="n">
        <v>1</v>
      </c>
      <c r="E26" s="31" t="s">
        <v>78</v>
      </c>
      <c r="F26" s="12" t="s">
        <v>79</v>
      </c>
      <c r="G26" s="24" t="n">
        <v>15</v>
      </c>
      <c r="H26" s="32" t="b">
        <f aca="false">TRUE()</f>
        <v>1</v>
      </c>
      <c r="I26" s="32" t="b">
        <f aca="false">FALSE()</f>
        <v>0</v>
      </c>
      <c r="J26" s="13"/>
    </row>
    <row r="27" customFormat="false" ht="15" hidden="false" customHeight="false" outlineLevel="0" collapsed="false">
      <c r="A27" s="10" t="n">
        <v>46134</v>
      </c>
      <c r="B27" s="16" t="s">
        <v>21</v>
      </c>
      <c r="C27" s="12" t="s">
        <v>25</v>
      </c>
      <c r="D27" s="24" t="n">
        <v>2</v>
      </c>
      <c r="E27" s="33" t="s">
        <v>80</v>
      </c>
      <c r="F27" s="12" t="s">
        <v>81</v>
      </c>
      <c r="G27" s="24" t="n">
        <v>60</v>
      </c>
      <c r="H27" s="32" t="b">
        <f aca="false">Planner!$D9="Yes"</f>
        <v>0</v>
      </c>
      <c r="I27" s="32" t="b">
        <f aca="false">FALSE()</f>
        <v>0</v>
      </c>
      <c r="J27" s="13"/>
    </row>
    <row r="28" customFormat="false" ht="15" hidden="false" customHeight="false" outlineLevel="0" collapsed="false">
      <c r="A28" s="10" t="n">
        <v>46134</v>
      </c>
      <c r="B28" s="16" t="s">
        <v>21</v>
      </c>
      <c r="C28" s="12" t="s">
        <v>25</v>
      </c>
      <c r="D28" s="24" t="n">
        <v>3</v>
      </c>
      <c r="E28" s="24" t="s">
        <v>82</v>
      </c>
      <c r="F28" s="12" t="s">
        <v>94</v>
      </c>
      <c r="G28" s="24" t="n">
        <v>77</v>
      </c>
      <c r="H28" s="32" t="b">
        <f aca="false">OR(Planner!$E$9=$E28,Planner!$F$9=$E28)</f>
        <v>0</v>
      </c>
      <c r="I28" s="32" t="b">
        <f aca="false">FALSE()</f>
        <v>0</v>
      </c>
      <c r="J28" s="13"/>
    </row>
    <row r="29" customFormat="false" ht="15" hidden="false" customHeight="false" outlineLevel="0" collapsed="false">
      <c r="A29" s="10" t="n">
        <v>46134</v>
      </c>
      <c r="B29" s="16" t="s">
        <v>21</v>
      </c>
      <c r="C29" s="12" t="s">
        <v>25</v>
      </c>
      <c r="D29" s="24" t="n">
        <v>3</v>
      </c>
      <c r="E29" s="24" t="s">
        <v>84</v>
      </c>
      <c r="F29" s="12" t="s">
        <v>85</v>
      </c>
      <c r="G29" s="24" t="n">
        <v>28</v>
      </c>
      <c r="H29" s="32" t="b">
        <f aca="false">OR(Planner!$E$9=$E29,Planner!$F$9=$E29)</f>
        <v>0</v>
      </c>
      <c r="I29" s="32" t="b">
        <f aca="false">FALSE()</f>
        <v>0</v>
      </c>
      <c r="J29" s="13"/>
    </row>
    <row r="30" customFormat="false" ht="15" hidden="false" customHeight="false" outlineLevel="0" collapsed="false">
      <c r="A30" s="10" t="n">
        <v>46134</v>
      </c>
      <c r="B30" s="16" t="s">
        <v>21</v>
      </c>
      <c r="C30" s="12" t="s">
        <v>25</v>
      </c>
      <c r="D30" s="24" t="n">
        <v>3</v>
      </c>
      <c r="E30" s="24" t="s">
        <v>84</v>
      </c>
      <c r="F30" s="12" t="s">
        <v>93</v>
      </c>
      <c r="G30" s="24" t="n">
        <v>57</v>
      </c>
      <c r="H30" s="32" t="b">
        <f aca="false">OR(Planner!$E$9=$E30,Planner!$F$9=$E30)</f>
        <v>0</v>
      </c>
      <c r="I30" s="32" t="b">
        <f aca="false">FALSE()</f>
        <v>0</v>
      </c>
      <c r="J30" s="13"/>
    </row>
    <row r="31" customFormat="false" ht="15" hidden="false" customHeight="false" outlineLevel="0" collapsed="false">
      <c r="A31" s="10" t="n">
        <v>46134</v>
      </c>
      <c r="B31" s="16" t="s">
        <v>21</v>
      </c>
      <c r="C31" s="12" t="s">
        <v>25</v>
      </c>
      <c r="D31" s="24" t="n">
        <v>3</v>
      </c>
      <c r="E31" s="24" t="s">
        <v>86</v>
      </c>
      <c r="F31" s="12" t="s">
        <v>87</v>
      </c>
      <c r="G31" s="24" t="n">
        <v>12</v>
      </c>
      <c r="H31" s="32" t="b">
        <f aca="false">OR(Planner!$E$9=$E31,Planner!$F$9=$E31)</f>
        <v>0</v>
      </c>
      <c r="I31" s="32" t="b">
        <f aca="false">FALSE()</f>
        <v>0</v>
      </c>
      <c r="J31" s="13"/>
    </row>
    <row r="32" customFormat="false" ht="15" hidden="false" customHeight="false" outlineLevel="0" collapsed="false">
      <c r="A32" s="10" t="n">
        <v>46134</v>
      </c>
      <c r="B32" s="16" t="s">
        <v>21</v>
      </c>
      <c r="C32" s="12" t="s">
        <v>25</v>
      </c>
      <c r="D32" s="24" t="n">
        <v>3</v>
      </c>
      <c r="E32" s="24" t="s">
        <v>86</v>
      </c>
      <c r="F32" s="12" t="s">
        <v>88</v>
      </c>
      <c r="G32" s="24" t="n">
        <v>25</v>
      </c>
      <c r="H32" s="32" t="b">
        <f aca="false">OR(Planner!$E$9=$E32,Planner!$F$9=$E32)</f>
        <v>0</v>
      </c>
      <c r="I32" s="32" t="b">
        <f aca="false">FALSE()</f>
        <v>0</v>
      </c>
      <c r="J32" s="13"/>
    </row>
    <row r="33" customFormat="false" ht="15" hidden="false" customHeight="false" outlineLevel="0" collapsed="false">
      <c r="A33" s="10" t="n">
        <v>46140</v>
      </c>
      <c r="B33" s="11" t="s">
        <v>19</v>
      </c>
      <c r="C33" s="12" t="s">
        <v>26</v>
      </c>
      <c r="D33" s="24" t="n">
        <v>1</v>
      </c>
      <c r="E33" s="31" t="s">
        <v>78</v>
      </c>
      <c r="F33" s="12" t="s">
        <v>79</v>
      </c>
      <c r="G33" s="24" t="n">
        <v>15</v>
      </c>
      <c r="H33" s="32" t="b">
        <f aca="false">TRUE()</f>
        <v>1</v>
      </c>
      <c r="I33" s="32" t="b">
        <f aca="false">FALSE()</f>
        <v>0</v>
      </c>
      <c r="J33" s="13"/>
    </row>
    <row r="34" customFormat="false" ht="15" hidden="false" customHeight="false" outlineLevel="0" collapsed="false">
      <c r="A34" s="10" t="n">
        <v>46140</v>
      </c>
      <c r="B34" s="11" t="s">
        <v>19</v>
      </c>
      <c r="C34" s="12" t="s">
        <v>26</v>
      </c>
      <c r="D34" s="24" t="n">
        <v>2</v>
      </c>
      <c r="E34" s="33" t="s">
        <v>80</v>
      </c>
      <c r="F34" s="12" t="s">
        <v>81</v>
      </c>
      <c r="G34" s="24" t="n">
        <v>60</v>
      </c>
      <c r="H34" s="32" t="b">
        <f aca="false">Planner!$D10="Yes"</f>
        <v>0</v>
      </c>
      <c r="I34" s="32" t="b">
        <f aca="false">FALSE()</f>
        <v>0</v>
      </c>
      <c r="J34" s="13"/>
    </row>
    <row r="35" customFormat="false" ht="15" hidden="false" customHeight="false" outlineLevel="0" collapsed="false">
      <c r="A35" s="10" t="n">
        <v>46140</v>
      </c>
      <c r="B35" s="11" t="s">
        <v>19</v>
      </c>
      <c r="C35" s="12" t="s">
        <v>26</v>
      </c>
      <c r="D35" s="24" t="n">
        <v>3</v>
      </c>
      <c r="E35" s="24" t="s">
        <v>82</v>
      </c>
      <c r="F35" s="12" t="s">
        <v>94</v>
      </c>
      <c r="G35" s="24" t="n">
        <v>77</v>
      </c>
      <c r="H35" s="32" t="b">
        <f aca="false">OR(Planner!$E$10=$E35,Planner!$F$10=$E35)</f>
        <v>0</v>
      </c>
      <c r="I35" s="32" t="b">
        <f aca="false">FALSE()</f>
        <v>0</v>
      </c>
      <c r="J35" s="13"/>
    </row>
    <row r="36" customFormat="false" ht="15" hidden="false" customHeight="false" outlineLevel="0" collapsed="false">
      <c r="A36" s="10" t="n">
        <v>46140</v>
      </c>
      <c r="B36" s="11" t="s">
        <v>19</v>
      </c>
      <c r="C36" s="12" t="s">
        <v>26</v>
      </c>
      <c r="D36" s="24" t="n">
        <v>3</v>
      </c>
      <c r="E36" s="24" t="s">
        <v>84</v>
      </c>
      <c r="F36" s="12" t="s">
        <v>85</v>
      </c>
      <c r="G36" s="24" t="n">
        <v>28</v>
      </c>
      <c r="H36" s="32" t="b">
        <f aca="false">OR(Planner!$E$10=$E36,Planner!$F$10=$E36)</f>
        <v>0</v>
      </c>
      <c r="I36" s="32" t="b">
        <f aca="false">FALSE()</f>
        <v>0</v>
      </c>
      <c r="J36" s="13"/>
    </row>
    <row r="37" customFormat="false" ht="15" hidden="false" customHeight="false" outlineLevel="0" collapsed="false">
      <c r="A37" s="10" t="n">
        <v>46140</v>
      </c>
      <c r="B37" s="11" t="s">
        <v>19</v>
      </c>
      <c r="C37" s="12" t="s">
        <v>26</v>
      </c>
      <c r="D37" s="24" t="n">
        <v>3</v>
      </c>
      <c r="E37" s="24" t="s">
        <v>95</v>
      </c>
      <c r="F37" s="12" t="s">
        <v>96</v>
      </c>
      <c r="G37" s="24" t="n">
        <v>19</v>
      </c>
      <c r="H37" s="32" t="b">
        <f aca="false">OR(Planner!$E$10=$E37,Planner!$F$10=$E37)</f>
        <v>0</v>
      </c>
      <c r="I37" s="32" t="b">
        <f aca="false">FALSE()</f>
        <v>0</v>
      </c>
      <c r="J37" s="13"/>
    </row>
    <row r="38" customFormat="false" ht="15" hidden="false" customHeight="false" outlineLevel="0" collapsed="false">
      <c r="A38" s="10" t="n">
        <v>46140</v>
      </c>
      <c r="B38" s="11" t="s">
        <v>19</v>
      </c>
      <c r="C38" s="12" t="s">
        <v>26</v>
      </c>
      <c r="D38" s="24" t="n">
        <v>3</v>
      </c>
      <c r="E38" s="24" t="s">
        <v>95</v>
      </c>
      <c r="F38" s="12" t="s">
        <v>97</v>
      </c>
      <c r="G38" s="24" t="n">
        <v>18</v>
      </c>
      <c r="H38" s="32" t="b">
        <f aca="false">OR(Planner!$E$10=$E38,Planner!$F$10=$E38)</f>
        <v>0</v>
      </c>
      <c r="I38" s="32" t="b">
        <f aca="false">FALSE()</f>
        <v>0</v>
      </c>
      <c r="J38" s="13"/>
    </row>
    <row r="39" customFormat="false" ht="15" hidden="false" customHeight="false" outlineLevel="0" collapsed="false">
      <c r="A39" s="10" t="n">
        <v>46140</v>
      </c>
      <c r="B39" s="11" t="s">
        <v>19</v>
      </c>
      <c r="C39" s="12" t="s">
        <v>26</v>
      </c>
      <c r="D39" s="24" t="n">
        <v>3</v>
      </c>
      <c r="E39" s="24" t="s">
        <v>86</v>
      </c>
      <c r="F39" s="12" t="s">
        <v>87</v>
      </c>
      <c r="G39" s="24" t="n">
        <v>12</v>
      </c>
      <c r="H39" s="32" t="b">
        <f aca="false">OR(Planner!$E$10=$E39,Planner!$F$10=$E39)</f>
        <v>0</v>
      </c>
      <c r="I39" s="32" t="b">
        <f aca="false">FALSE()</f>
        <v>0</v>
      </c>
      <c r="J39" s="13"/>
    </row>
    <row r="40" customFormat="false" ht="15" hidden="false" customHeight="false" outlineLevel="0" collapsed="false">
      <c r="A40" s="10" t="n">
        <v>46140</v>
      </c>
      <c r="B40" s="11" t="s">
        <v>19</v>
      </c>
      <c r="C40" s="12" t="s">
        <v>26</v>
      </c>
      <c r="D40" s="24" t="n">
        <v>3</v>
      </c>
      <c r="E40" s="24" t="s">
        <v>86</v>
      </c>
      <c r="F40" s="12" t="s">
        <v>88</v>
      </c>
      <c r="G40" s="24" t="n">
        <v>25</v>
      </c>
      <c r="H40" s="32" t="b">
        <f aca="false">OR(Planner!$E$10=$E40,Planner!$F$10=$E40)</f>
        <v>0</v>
      </c>
      <c r="I40" s="32" t="b">
        <f aca="false">FALSE()</f>
        <v>0</v>
      </c>
      <c r="J40" s="13"/>
    </row>
    <row r="41" customFormat="false" ht="15" hidden="false" customHeight="false" outlineLevel="0" collapsed="false">
      <c r="A41" s="10" t="n">
        <v>46140</v>
      </c>
      <c r="B41" s="11" t="s">
        <v>19</v>
      </c>
      <c r="C41" s="12" t="s">
        <v>26</v>
      </c>
      <c r="D41" s="24" t="n">
        <v>3</v>
      </c>
      <c r="E41" s="24" t="s">
        <v>86</v>
      </c>
      <c r="F41" s="12" t="s">
        <v>98</v>
      </c>
      <c r="G41" s="24" t="n">
        <v>27</v>
      </c>
      <c r="H41" s="32" t="b">
        <f aca="false">OR(Planner!$E$10=$E41,Planner!$F$10=$E41)</f>
        <v>0</v>
      </c>
      <c r="I41" s="32" t="b">
        <f aca="false">FALSE()</f>
        <v>0</v>
      </c>
      <c r="J41" s="13"/>
    </row>
    <row r="42" customFormat="false" ht="15" hidden="false" customHeight="false" outlineLevel="0" collapsed="false">
      <c r="A42" s="10" t="n">
        <v>46141</v>
      </c>
      <c r="B42" s="20" t="s">
        <v>27</v>
      </c>
      <c r="C42" s="12" t="s">
        <v>28</v>
      </c>
      <c r="D42" s="24" t="n">
        <v>1</v>
      </c>
      <c r="E42" s="31" t="s">
        <v>78</v>
      </c>
      <c r="F42" s="12" t="s">
        <v>79</v>
      </c>
      <c r="G42" s="24" t="n">
        <v>15</v>
      </c>
      <c r="H42" s="32" t="b">
        <f aca="false">TRUE()</f>
        <v>1</v>
      </c>
      <c r="I42" s="32" t="b">
        <f aca="false">FALSE()</f>
        <v>0</v>
      </c>
      <c r="J42" s="13"/>
    </row>
    <row r="43" customFormat="false" ht="15" hidden="false" customHeight="false" outlineLevel="0" collapsed="false">
      <c r="A43" s="10" t="n">
        <v>46141</v>
      </c>
      <c r="B43" s="20" t="s">
        <v>27</v>
      </c>
      <c r="C43" s="12" t="s">
        <v>28</v>
      </c>
      <c r="D43" s="24" t="n">
        <v>2</v>
      </c>
      <c r="E43" s="33" t="s">
        <v>80</v>
      </c>
      <c r="F43" s="12" t="s">
        <v>81</v>
      </c>
      <c r="G43" s="24" t="n">
        <v>60</v>
      </c>
      <c r="H43" s="32" t="b">
        <f aca="false">Planner!$D11="Yes"</f>
        <v>0</v>
      </c>
      <c r="I43" s="32" t="b">
        <f aca="false">FALSE()</f>
        <v>0</v>
      </c>
      <c r="J43" s="13"/>
    </row>
    <row r="44" customFormat="false" ht="15" hidden="false" customHeight="false" outlineLevel="0" collapsed="false">
      <c r="A44" s="10" t="n">
        <v>46141</v>
      </c>
      <c r="B44" s="20" t="s">
        <v>27</v>
      </c>
      <c r="C44" s="12" t="s">
        <v>28</v>
      </c>
      <c r="D44" s="24" t="n">
        <v>3</v>
      </c>
      <c r="E44" s="24" t="s">
        <v>82</v>
      </c>
      <c r="F44" s="12" t="s">
        <v>94</v>
      </c>
      <c r="G44" s="24" t="n">
        <v>77</v>
      </c>
      <c r="H44" s="32" t="b">
        <f aca="false">OR(Planner!$E$11=$E44,Planner!$F$11=$E44)</f>
        <v>0</v>
      </c>
      <c r="I44" s="32" t="b">
        <f aca="false">FALSE()</f>
        <v>0</v>
      </c>
      <c r="J44" s="13"/>
    </row>
    <row r="45" customFormat="false" ht="15" hidden="false" customHeight="false" outlineLevel="0" collapsed="false">
      <c r="A45" s="10" t="n">
        <v>46141</v>
      </c>
      <c r="B45" s="20" t="s">
        <v>27</v>
      </c>
      <c r="C45" s="12" t="s">
        <v>28</v>
      </c>
      <c r="D45" s="24" t="n">
        <v>3</v>
      </c>
      <c r="E45" s="24" t="s">
        <v>84</v>
      </c>
      <c r="F45" s="12" t="s">
        <v>85</v>
      </c>
      <c r="G45" s="24" t="n">
        <v>28</v>
      </c>
      <c r="H45" s="32" t="b">
        <f aca="false">OR(Planner!$E$11=$E45,Planner!$F$11=$E45)</f>
        <v>0</v>
      </c>
      <c r="I45" s="32" t="b">
        <f aca="false">FALSE()</f>
        <v>0</v>
      </c>
      <c r="J45" s="13"/>
    </row>
    <row r="46" customFormat="false" ht="15" hidden="false" customHeight="false" outlineLevel="0" collapsed="false">
      <c r="A46" s="10" t="n">
        <v>46141</v>
      </c>
      <c r="B46" s="20" t="s">
        <v>27</v>
      </c>
      <c r="C46" s="12" t="s">
        <v>28</v>
      </c>
      <c r="D46" s="24" t="n">
        <v>3</v>
      </c>
      <c r="E46" s="24" t="s">
        <v>99</v>
      </c>
      <c r="F46" s="12" t="s">
        <v>100</v>
      </c>
      <c r="G46" s="24" t="n">
        <v>14</v>
      </c>
      <c r="H46" s="32" t="b">
        <f aca="false">OR(Planner!$E$11=$E46,Planner!$F$11=$E46)</f>
        <v>0</v>
      </c>
      <c r="I46" s="32" t="b">
        <f aca="false">FALSE()</f>
        <v>0</v>
      </c>
      <c r="J46" s="13"/>
    </row>
    <row r="47" customFormat="false" ht="15" hidden="false" customHeight="false" outlineLevel="0" collapsed="false">
      <c r="A47" s="10" t="n">
        <v>46141</v>
      </c>
      <c r="B47" s="20" t="s">
        <v>27</v>
      </c>
      <c r="C47" s="12" t="s">
        <v>28</v>
      </c>
      <c r="D47" s="24" t="n">
        <v>3</v>
      </c>
      <c r="E47" s="24" t="s">
        <v>86</v>
      </c>
      <c r="F47" s="12" t="s">
        <v>87</v>
      </c>
      <c r="G47" s="24" t="n">
        <v>12</v>
      </c>
      <c r="H47" s="32" t="b">
        <f aca="false">OR(Planner!$E$11=$E47,Planner!$F$11=$E47)</f>
        <v>0</v>
      </c>
      <c r="I47" s="32" t="b">
        <f aca="false">FALSE()</f>
        <v>0</v>
      </c>
      <c r="J47" s="13"/>
    </row>
    <row r="48" customFormat="false" ht="15" hidden="false" customHeight="false" outlineLevel="0" collapsed="false">
      <c r="A48" s="10" t="n">
        <v>46141</v>
      </c>
      <c r="B48" s="20" t="s">
        <v>27</v>
      </c>
      <c r="C48" s="12" t="s">
        <v>28</v>
      </c>
      <c r="D48" s="24" t="n">
        <v>3</v>
      </c>
      <c r="E48" s="24" t="s">
        <v>86</v>
      </c>
      <c r="F48" s="12" t="s">
        <v>88</v>
      </c>
      <c r="G48" s="24" t="n">
        <v>25</v>
      </c>
      <c r="H48" s="32" t="b">
        <f aca="false">OR(Planner!$E$11=$E48,Planner!$F$11=$E48)</f>
        <v>0</v>
      </c>
      <c r="I48" s="32" t="b">
        <f aca="false">FALSE()</f>
        <v>0</v>
      </c>
      <c r="J48" s="13"/>
    </row>
    <row r="49" customFormat="false" ht="15" hidden="false" customHeight="false" outlineLevel="0" collapsed="false">
      <c r="A49" s="10" t="n">
        <v>46141</v>
      </c>
      <c r="B49" s="20" t="s">
        <v>27</v>
      </c>
      <c r="C49" s="12" t="s">
        <v>28</v>
      </c>
      <c r="D49" s="24" t="n">
        <v>3</v>
      </c>
      <c r="E49" s="24" t="s">
        <v>86</v>
      </c>
      <c r="F49" s="12" t="s">
        <v>98</v>
      </c>
      <c r="G49" s="24" t="n">
        <v>27</v>
      </c>
      <c r="H49" s="32" t="b">
        <f aca="false">OR(Planner!$E$11=$E49,Planner!$F$11=$E49)</f>
        <v>0</v>
      </c>
      <c r="I49" s="32" t="b">
        <f aca="false">FALSE()</f>
        <v>0</v>
      </c>
      <c r="J49" s="13"/>
    </row>
    <row r="50" customFormat="false" ht="23.85" hidden="false" customHeight="false" outlineLevel="0" collapsed="false">
      <c r="A50" s="10" t="n">
        <v>46156</v>
      </c>
      <c r="B50" s="21" t="s">
        <v>29</v>
      </c>
      <c r="C50" s="12" t="s">
        <v>30</v>
      </c>
      <c r="D50" s="24" t="n">
        <v>1</v>
      </c>
      <c r="E50" s="31" t="s">
        <v>78</v>
      </c>
      <c r="F50" s="12" t="s">
        <v>79</v>
      </c>
      <c r="G50" s="24" t="n">
        <v>15</v>
      </c>
      <c r="H50" s="32" t="b">
        <f aca="false">TRUE()</f>
        <v>1</v>
      </c>
      <c r="I50" s="32" t="b">
        <f aca="false">FALSE()</f>
        <v>0</v>
      </c>
      <c r="J50" s="13"/>
    </row>
    <row r="51" customFormat="false" ht="23.85" hidden="false" customHeight="false" outlineLevel="0" collapsed="false">
      <c r="A51" s="10" t="n">
        <v>46156</v>
      </c>
      <c r="B51" s="21" t="s">
        <v>29</v>
      </c>
      <c r="C51" s="12" t="s">
        <v>30</v>
      </c>
      <c r="D51" s="24" t="n">
        <v>2</v>
      </c>
      <c r="E51" s="33" t="s">
        <v>80</v>
      </c>
      <c r="F51" s="12" t="s">
        <v>81</v>
      </c>
      <c r="G51" s="24" t="n">
        <v>60</v>
      </c>
      <c r="H51" s="32" t="b">
        <f aca="false">Planner!$D12="Yes"</f>
        <v>0</v>
      </c>
      <c r="I51" s="32" t="b">
        <f aca="false">FALSE()</f>
        <v>0</v>
      </c>
      <c r="J51" s="13"/>
    </row>
    <row r="52" customFormat="false" ht="23.85" hidden="false" customHeight="false" outlineLevel="0" collapsed="false">
      <c r="A52" s="10" t="n">
        <v>46156</v>
      </c>
      <c r="B52" s="21" t="s">
        <v>29</v>
      </c>
      <c r="C52" s="12" t="s">
        <v>30</v>
      </c>
      <c r="D52" s="24" t="n">
        <v>3</v>
      </c>
      <c r="E52" s="24" t="s">
        <v>82</v>
      </c>
      <c r="F52" s="12" t="s">
        <v>94</v>
      </c>
      <c r="G52" s="24" t="n">
        <v>77</v>
      </c>
      <c r="H52" s="32" t="b">
        <f aca="false">OR(Planner!$E$12=$E52,Planner!$F$12=$E52)</f>
        <v>0</v>
      </c>
      <c r="I52" s="32" t="b">
        <f aca="false">FALSE()</f>
        <v>0</v>
      </c>
      <c r="J52" s="13"/>
    </row>
    <row r="53" customFormat="false" ht="23.85" hidden="false" customHeight="false" outlineLevel="0" collapsed="false">
      <c r="A53" s="10" t="n">
        <v>46156</v>
      </c>
      <c r="B53" s="21" t="s">
        <v>29</v>
      </c>
      <c r="C53" s="12" t="s">
        <v>30</v>
      </c>
      <c r="D53" s="24" t="n">
        <v>3</v>
      </c>
      <c r="E53" s="24" t="s">
        <v>84</v>
      </c>
      <c r="F53" s="12" t="s">
        <v>85</v>
      </c>
      <c r="G53" s="24" t="n">
        <v>28</v>
      </c>
      <c r="H53" s="32" t="b">
        <f aca="false">OR(Planner!$E$12=$E53,Planner!$F$12=$E53)</f>
        <v>0</v>
      </c>
      <c r="I53" s="32" t="b">
        <f aca="false">FALSE()</f>
        <v>0</v>
      </c>
      <c r="J53" s="13"/>
    </row>
    <row r="54" customFormat="false" ht="23.85" hidden="false" customHeight="false" outlineLevel="0" collapsed="false">
      <c r="A54" s="10" t="n">
        <v>46156</v>
      </c>
      <c r="B54" s="21" t="s">
        <v>29</v>
      </c>
      <c r="C54" s="12" t="s">
        <v>30</v>
      </c>
      <c r="D54" s="24" t="n">
        <v>3</v>
      </c>
      <c r="E54" s="24" t="s">
        <v>95</v>
      </c>
      <c r="F54" s="12" t="s">
        <v>96</v>
      </c>
      <c r="G54" s="24" t="n">
        <v>19</v>
      </c>
      <c r="H54" s="32" t="b">
        <f aca="false">OR(Planner!$E$12=$E54,Planner!$F$12=$E54)</f>
        <v>0</v>
      </c>
      <c r="I54" s="32" t="b">
        <f aca="false">FALSE()</f>
        <v>0</v>
      </c>
      <c r="J54" s="13"/>
    </row>
    <row r="55" customFormat="false" ht="23.85" hidden="false" customHeight="false" outlineLevel="0" collapsed="false">
      <c r="A55" s="10" t="n">
        <v>46156</v>
      </c>
      <c r="B55" s="21" t="s">
        <v>29</v>
      </c>
      <c r="C55" s="12" t="s">
        <v>30</v>
      </c>
      <c r="D55" s="24" t="n">
        <v>3</v>
      </c>
      <c r="E55" s="24" t="s">
        <v>95</v>
      </c>
      <c r="F55" s="12" t="s">
        <v>97</v>
      </c>
      <c r="G55" s="24" t="n">
        <v>18</v>
      </c>
      <c r="H55" s="32" t="b">
        <f aca="false">OR(Planner!$E$12=$E55,Planner!$F$12=$E55)</f>
        <v>0</v>
      </c>
      <c r="I55" s="32" t="b">
        <f aca="false">FALSE()</f>
        <v>0</v>
      </c>
      <c r="J55" s="13"/>
    </row>
    <row r="56" customFormat="false" ht="23.85" hidden="false" customHeight="false" outlineLevel="0" collapsed="false">
      <c r="A56" s="10" t="n">
        <v>46156</v>
      </c>
      <c r="B56" s="21" t="s">
        <v>29</v>
      </c>
      <c r="C56" s="12" t="s">
        <v>30</v>
      </c>
      <c r="D56" s="24" t="n">
        <v>3</v>
      </c>
      <c r="E56" s="24" t="s">
        <v>86</v>
      </c>
      <c r="F56" s="12" t="s">
        <v>87</v>
      </c>
      <c r="G56" s="24" t="n">
        <v>12</v>
      </c>
      <c r="H56" s="32" t="b">
        <f aca="false">OR(Planner!$E$12=$E56,Planner!$F$12=$E56)</f>
        <v>0</v>
      </c>
      <c r="I56" s="32" t="b">
        <f aca="false">FALSE()</f>
        <v>0</v>
      </c>
      <c r="J56" s="13"/>
    </row>
    <row r="57" customFormat="false" ht="23.85" hidden="false" customHeight="false" outlineLevel="0" collapsed="false">
      <c r="A57" s="10" t="n">
        <v>46156</v>
      </c>
      <c r="B57" s="21" t="s">
        <v>29</v>
      </c>
      <c r="C57" s="12" t="s">
        <v>30</v>
      </c>
      <c r="D57" s="24" t="n">
        <v>3</v>
      </c>
      <c r="E57" s="24" t="s">
        <v>86</v>
      </c>
      <c r="F57" s="12" t="s">
        <v>88</v>
      </c>
      <c r="G57" s="24" t="n">
        <v>25</v>
      </c>
      <c r="H57" s="32" t="b">
        <f aca="false">OR(Planner!$E$12=$E57,Planner!$F$12=$E57)</f>
        <v>0</v>
      </c>
      <c r="I57" s="32" t="b">
        <f aca="false">FALSE()</f>
        <v>0</v>
      </c>
      <c r="J57" s="13"/>
    </row>
    <row r="58" customFormat="false" ht="23.85" hidden="false" customHeight="false" outlineLevel="0" collapsed="false">
      <c r="A58" s="10" t="n">
        <v>46156</v>
      </c>
      <c r="B58" s="21" t="s">
        <v>29</v>
      </c>
      <c r="C58" s="12" t="s">
        <v>30</v>
      </c>
      <c r="D58" s="24" t="n">
        <v>3</v>
      </c>
      <c r="E58" s="24" t="s">
        <v>86</v>
      </c>
      <c r="F58" s="12" t="s">
        <v>98</v>
      </c>
      <c r="G58" s="24" t="n">
        <v>27</v>
      </c>
      <c r="H58" s="32" t="b">
        <f aca="false">OR(Planner!$E$12=$E58,Planner!$F$12=$E58)</f>
        <v>0</v>
      </c>
      <c r="I58" s="32" t="b">
        <f aca="false">FALSE()</f>
        <v>0</v>
      </c>
      <c r="J58" s="13"/>
    </row>
    <row r="59" customFormat="false" ht="15" hidden="false" customHeight="false" outlineLevel="0" collapsed="false">
      <c r="A59" s="10" t="n">
        <v>46157</v>
      </c>
      <c r="B59" s="16" t="s">
        <v>21</v>
      </c>
      <c r="C59" s="12" t="s">
        <v>31</v>
      </c>
      <c r="D59" s="24" t="n">
        <v>1</v>
      </c>
      <c r="E59" s="31" t="s">
        <v>78</v>
      </c>
      <c r="F59" s="12" t="s">
        <v>79</v>
      </c>
      <c r="G59" s="24" t="n">
        <v>15</v>
      </c>
      <c r="H59" s="32" t="b">
        <f aca="false">TRUE()</f>
        <v>1</v>
      </c>
      <c r="I59" s="32" t="b">
        <f aca="false">FALSE()</f>
        <v>0</v>
      </c>
      <c r="J59" s="13"/>
    </row>
    <row r="60" customFormat="false" ht="15" hidden="false" customHeight="false" outlineLevel="0" collapsed="false">
      <c r="A60" s="10" t="n">
        <v>46157</v>
      </c>
      <c r="B60" s="16" t="s">
        <v>21</v>
      </c>
      <c r="C60" s="12" t="s">
        <v>31</v>
      </c>
      <c r="D60" s="24" t="n">
        <v>2</v>
      </c>
      <c r="E60" s="33" t="s">
        <v>80</v>
      </c>
      <c r="F60" s="12" t="s">
        <v>81</v>
      </c>
      <c r="G60" s="24" t="n">
        <v>60</v>
      </c>
      <c r="H60" s="32" t="b">
        <f aca="false">Planner!$D13="Yes"</f>
        <v>0</v>
      </c>
      <c r="I60" s="32" t="b">
        <f aca="false">FALSE()</f>
        <v>0</v>
      </c>
      <c r="J60" s="13"/>
    </row>
    <row r="61" customFormat="false" ht="15" hidden="false" customHeight="false" outlineLevel="0" collapsed="false">
      <c r="A61" s="10" t="n">
        <v>46157</v>
      </c>
      <c r="B61" s="16" t="s">
        <v>21</v>
      </c>
      <c r="C61" s="12" t="s">
        <v>31</v>
      </c>
      <c r="D61" s="24" t="n">
        <v>3</v>
      </c>
      <c r="E61" s="24" t="s">
        <v>82</v>
      </c>
      <c r="F61" s="12" t="s">
        <v>94</v>
      </c>
      <c r="G61" s="24" t="n">
        <v>77</v>
      </c>
      <c r="H61" s="32" t="b">
        <f aca="false">OR(Planner!$E$13=$E61,Planner!$F$13=$E61)</f>
        <v>0</v>
      </c>
      <c r="I61" s="32" t="b">
        <f aca="false">FALSE()</f>
        <v>0</v>
      </c>
      <c r="J61" s="13"/>
    </row>
    <row r="62" customFormat="false" ht="15" hidden="false" customHeight="false" outlineLevel="0" collapsed="false">
      <c r="A62" s="10" t="n">
        <v>46157</v>
      </c>
      <c r="B62" s="16" t="s">
        <v>21</v>
      </c>
      <c r="C62" s="12" t="s">
        <v>31</v>
      </c>
      <c r="D62" s="24" t="n">
        <v>3</v>
      </c>
      <c r="E62" s="24" t="s">
        <v>84</v>
      </c>
      <c r="F62" s="12" t="s">
        <v>85</v>
      </c>
      <c r="G62" s="24" t="n">
        <v>28</v>
      </c>
      <c r="H62" s="32" t="b">
        <f aca="false">OR(Planner!$E$13=$E62,Planner!$F$13=$E62)</f>
        <v>0</v>
      </c>
      <c r="I62" s="32" t="b">
        <f aca="false">FALSE()</f>
        <v>0</v>
      </c>
      <c r="J62" s="13"/>
    </row>
    <row r="63" customFormat="false" ht="15" hidden="false" customHeight="false" outlineLevel="0" collapsed="false">
      <c r="A63" s="10" t="n">
        <v>46157</v>
      </c>
      <c r="B63" s="16" t="s">
        <v>21</v>
      </c>
      <c r="C63" s="12" t="s">
        <v>31</v>
      </c>
      <c r="D63" s="24" t="n">
        <v>3</v>
      </c>
      <c r="E63" s="24" t="s">
        <v>95</v>
      </c>
      <c r="F63" s="12" t="s">
        <v>96</v>
      </c>
      <c r="G63" s="24" t="n">
        <v>19</v>
      </c>
      <c r="H63" s="32" t="b">
        <f aca="false">OR(Planner!$E$13=$E63,Planner!$F$13=$E63)</f>
        <v>0</v>
      </c>
      <c r="I63" s="32" t="b">
        <f aca="false">FALSE()</f>
        <v>0</v>
      </c>
      <c r="J63" s="13"/>
    </row>
    <row r="64" customFormat="false" ht="15" hidden="false" customHeight="false" outlineLevel="0" collapsed="false">
      <c r="A64" s="10" t="n">
        <v>46157</v>
      </c>
      <c r="B64" s="16" t="s">
        <v>21</v>
      </c>
      <c r="C64" s="12" t="s">
        <v>31</v>
      </c>
      <c r="D64" s="24" t="n">
        <v>3</v>
      </c>
      <c r="E64" s="24" t="s">
        <v>95</v>
      </c>
      <c r="F64" s="12" t="s">
        <v>97</v>
      </c>
      <c r="G64" s="24" t="n">
        <v>18</v>
      </c>
      <c r="H64" s="32" t="b">
        <f aca="false">OR(Planner!$E$13=$E64,Planner!$F$13=$E64)</f>
        <v>0</v>
      </c>
      <c r="I64" s="32" t="b">
        <f aca="false">FALSE()</f>
        <v>0</v>
      </c>
      <c r="J64" s="13"/>
    </row>
    <row r="65" customFormat="false" ht="15" hidden="false" customHeight="false" outlineLevel="0" collapsed="false">
      <c r="A65" s="10" t="n">
        <v>46157</v>
      </c>
      <c r="B65" s="16" t="s">
        <v>21</v>
      </c>
      <c r="C65" s="12" t="s">
        <v>31</v>
      </c>
      <c r="D65" s="24" t="n">
        <v>3</v>
      </c>
      <c r="E65" s="24" t="s">
        <v>86</v>
      </c>
      <c r="F65" s="12" t="s">
        <v>87</v>
      </c>
      <c r="G65" s="24" t="n">
        <v>12</v>
      </c>
      <c r="H65" s="32" t="b">
        <f aca="false">OR(Planner!$E$13=$E65,Planner!$F$13=$E65)</f>
        <v>0</v>
      </c>
      <c r="I65" s="32" t="b">
        <f aca="false">FALSE()</f>
        <v>0</v>
      </c>
      <c r="J65" s="13"/>
    </row>
    <row r="66" customFormat="false" ht="15" hidden="false" customHeight="false" outlineLevel="0" collapsed="false">
      <c r="A66" s="10" t="n">
        <v>46157</v>
      </c>
      <c r="B66" s="16" t="s">
        <v>21</v>
      </c>
      <c r="C66" s="12" t="s">
        <v>31</v>
      </c>
      <c r="D66" s="24" t="n">
        <v>3</v>
      </c>
      <c r="E66" s="24" t="s">
        <v>86</v>
      </c>
      <c r="F66" s="12" t="s">
        <v>88</v>
      </c>
      <c r="G66" s="24" t="n">
        <v>25</v>
      </c>
      <c r="H66" s="32" t="b">
        <f aca="false">OR(Planner!$E$13=$E66,Planner!$F$13=$E66)</f>
        <v>0</v>
      </c>
      <c r="I66" s="32" t="b">
        <f aca="false">FALSE()</f>
        <v>0</v>
      </c>
      <c r="J66" s="13"/>
    </row>
    <row r="67" customFormat="false" ht="15" hidden="false" customHeight="false" outlineLevel="0" collapsed="false">
      <c r="A67" s="10" t="n">
        <v>46154</v>
      </c>
      <c r="B67" s="11" t="s">
        <v>19</v>
      </c>
      <c r="C67" s="12" t="s">
        <v>32</v>
      </c>
      <c r="D67" s="24" t="n">
        <v>1</v>
      </c>
      <c r="E67" s="31" t="s">
        <v>78</v>
      </c>
      <c r="F67" s="12" t="s">
        <v>79</v>
      </c>
      <c r="G67" s="24" t="n">
        <v>15</v>
      </c>
      <c r="H67" s="32" t="b">
        <f aca="false">TRUE()</f>
        <v>1</v>
      </c>
      <c r="I67" s="32" t="b">
        <f aca="false">FALSE()</f>
        <v>0</v>
      </c>
      <c r="J67" s="13"/>
    </row>
    <row r="68" customFormat="false" ht="15" hidden="false" customHeight="false" outlineLevel="0" collapsed="false">
      <c r="A68" s="10" t="n">
        <v>46154</v>
      </c>
      <c r="B68" s="11" t="s">
        <v>19</v>
      </c>
      <c r="C68" s="12" t="s">
        <v>32</v>
      </c>
      <c r="D68" s="24" t="n">
        <v>2</v>
      </c>
      <c r="E68" s="33" t="s">
        <v>80</v>
      </c>
      <c r="F68" s="12" t="s">
        <v>81</v>
      </c>
      <c r="G68" s="24" t="n">
        <v>60</v>
      </c>
      <c r="H68" s="32" t="b">
        <f aca="false">Planner!$D14="Yes"</f>
        <v>0</v>
      </c>
      <c r="I68" s="32" t="b">
        <f aca="false">FALSE()</f>
        <v>0</v>
      </c>
      <c r="J68" s="13"/>
    </row>
    <row r="69" customFormat="false" ht="15" hidden="false" customHeight="false" outlineLevel="0" collapsed="false">
      <c r="A69" s="10" t="n">
        <v>46154</v>
      </c>
      <c r="B69" s="11" t="s">
        <v>19</v>
      </c>
      <c r="C69" s="12" t="s">
        <v>32</v>
      </c>
      <c r="D69" s="24" t="n">
        <v>3</v>
      </c>
      <c r="E69" s="24" t="s">
        <v>82</v>
      </c>
      <c r="F69" s="12" t="s">
        <v>101</v>
      </c>
      <c r="G69" s="24" t="n">
        <v>113</v>
      </c>
      <c r="H69" s="32" t="b">
        <f aca="false">OR(Planner!$E$14=$E69,Planner!$F$14=$E69)</f>
        <v>0</v>
      </c>
      <c r="I69" s="32" t="b">
        <f aca="false">FALSE()</f>
        <v>0</v>
      </c>
      <c r="J69" s="13"/>
    </row>
    <row r="70" customFormat="false" ht="15" hidden="false" customHeight="false" outlineLevel="0" collapsed="false">
      <c r="A70" s="10" t="n">
        <v>46154</v>
      </c>
      <c r="B70" s="11" t="s">
        <v>19</v>
      </c>
      <c r="C70" s="12" t="s">
        <v>32</v>
      </c>
      <c r="D70" s="24" t="n">
        <v>3</v>
      </c>
      <c r="E70" s="24" t="s">
        <v>84</v>
      </c>
      <c r="F70" s="12" t="s">
        <v>102</v>
      </c>
      <c r="G70" s="24" t="n">
        <v>78</v>
      </c>
      <c r="H70" s="32" t="b">
        <f aca="false">OR(Planner!$E$14=$E70,Planner!$F$14=$E70)</f>
        <v>0</v>
      </c>
      <c r="I70" s="32" t="b">
        <f aca="false">FALSE()</f>
        <v>0</v>
      </c>
      <c r="J70" s="13"/>
    </row>
    <row r="71" customFormat="false" ht="15" hidden="false" customHeight="false" outlineLevel="0" collapsed="false">
      <c r="A71" s="10" t="n">
        <v>46154</v>
      </c>
      <c r="B71" s="11" t="s">
        <v>19</v>
      </c>
      <c r="C71" s="12" t="s">
        <v>32</v>
      </c>
      <c r="D71" s="24" t="n">
        <v>3</v>
      </c>
      <c r="E71" s="24" t="s">
        <v>86</v>
      </c>
      <c r="F71" s="12" t="s">
        <v>103</v>
      </c>
      <c r="G71" s="24" t="n">
        <v>21</v>
      </c>
      <c r="H71" s="32" t="b">
        <f aca="false">OR(Planner!$E$14=$E71,Planner!$F$14=$E71)</f>
        <v>0</v>
      </c>
      <c r="I71" s="32" t="b">
        <f aca="false">FALSE()</f>
        <v>0</v>
      </c>
      <c r="J71" s="13"/>
    </row>
    <row r="72" customFormat="false" ht="15" hidden="false" customHeight="false" outlineLevel="0" collapsed="false">
      <c r="A72" s="10" t="n">
        <v>46154</v>
      </c>
      <c r="B72" s="11" t="s">
        <v>19</v>
      </c>
      <c r="C72" s="12" t="s">
        <v>32</v>
      </c>
      <c r="D72" s="24" t="n">
        <v>3</v>
      </c>
      <c r="E72" s="24" t="s">
        <v>86</v>
      </c>
      <c r="F72" s="12" t="s">
        <v>104</v>
      </c>
      <c r="G72" s="24" t="n">
        <v>19</v>
      </c>
      <c r="H72" s="32" t="b">
        <f aca="false">OR(Planner!$E$14=$E72,Planner!$F$14=$E72)</f>
        <v>0</v>
      </c>
      <c r="I72" s="32" t="b">
        <f aca="false">FALSE()</f>
        <v>0</v>
      </c>
      <c r="J72" s="13"/>
    </row>
    <row r="73" customFormat="false" ht="15" hidden="false" customHeight="false" outlineLevel="0" collapsed="false">
      <c r="A73" s="10" t="n">
        <v>46154</v>
      </c>
      <c r="B73" s="22" t="s">
        <v>33</v>
      </c>
      <c r="C73" s="12" t="s">
        <v>34</v>
      </c>
      <c r="D73" s="24" t="n">
        <v>1</v>
      </c>
      <c r="E73" s="31" t="s">
        <v>78</v>
      </c>
      <c r="F73" s="12" t="s">
        <v>79</v>
      </c>
      <c r="G73" s="24" t="n">
        <v>15</v>
      </c>
      <c r="H73" s="32" t="b">
        <f aca="false">TRUE()</f>
        <v>1</v>
      </c>
      <c r="I73" s="32" t="b">
        <f aca="false">FALSE()</f>
        <v>0</v>
      </c>
      <c r="J73" s="13"/>
    </row>
    <row r="74" customFormat="false" ht="15" hidden="false" customHeight="false" outlineLevel="0" collapsed="false">
      <c r="A74" s="10" t="n">
        <v>46154</v>
      </c>
      <c r="B74" s="22" t="s">
        <v>33</v>
      </c>
      <c r="C74" s="12" t="s">
        <v>34</v>
      </c>
      <c r="D74" s="24" t="n">
        <v>2</v>
      </c>
      <c r="E74" s="33" t="s">
        <v>80</v>
      </c>
      <c r="F74" s="12" t="s">
        <v>81</v>
      </c>
      <c r="G74" s="24" t="n">
        <v>60</v>
      </c>
      <c r="H74" s="32" t="b">
        <f aca="false">Planner!$D15="Yes"</f>
        <v>0</v>
      </c>
      <c r="I74" s="32" t="b">
        <f aca="false">FALSE()</f>
        <v>0</v>
      </c>
      <c r="J74" s="13"/>
    </row>
    <row r="75" customFormat="false" ht="15" hidden="false" customHeight="false" outlineLevel="0" collapsed="false">
      <c r="A75" s="10" t="n">
        <v>46154</v>
      </c>
      <c r="B75" s="22" t="s">
        <v>33</v>
      </c>
      <c r="C75" s="12" t="s">
        <v>34</v>
      </c>
      <c r="D75" s="24" t="n">
        <v>3</v>
      </c>
      <c r="E75" s="24" t="s">
        <v>82</v>
      </c>
      <c r="F75" s="12" t="s">
        <v>101</v>
      </c>
      <c r="G75" s="24" t="n">
        <v>113</v>
      </c>
      <c r="H75" s="32" t="b">
        <f aca="false">OR(Planner!$E$15=$E75,Planner!$F$15=$E75)</f>
        <v>0</v>
      </c>
      <c r="I75" s="32" t="b">
        <f aca="false">FALSE()</f>
        <v>0</v>
      </c>
      <c r="J75" s="13"/>
    </row>
    <row r="76" customFormat="false" ht="15" hidden="false" customHeight="false" outlineLevel="0" collapsed="false">
      <c r="A76" s="10" t="n">
        <v>46154</v>
      </c>
      <c r="B76" s="22" t="s">
        <v>33</v>
      </c>
      <c r="C76" s="12" t="s">
        <v>34</v>
      </c>
      <c r="D76" s="24" t="n">
        <v>3</v>
      </c>
      <c r="E76" s="24" t="s">
        <v>82</v>
      </c>
      <c r="F76" s="12" t="s">
        <v>105</v>
      </c>
      <c r="G76" s="24" t="n">
        <v>57</v>
      </c>
      <c r="H76" s="32" t="b">
        <f aca="false">OR(Planner!$E$15=$E76,Planner!$F$15=$E76)</f>
        <v>0</v>
      </c>
      <c r="I76" s="32" t="b">
        <f aca="false">FALSE()</f>
        <v>0</v>
      </c>
      <c r="J76" s="13"/>
    </row>
    <row r="77" customFormat="false" ht="15" hidden="false" customHeight="false" outlineLevel="0" collapsed="false">
      <c r="A77" s="10" t="n">
        <v>46154</v>
      </c>
      <c r="B77" s="22" t="s">
        <v>33</v>
      </c>
      <c r="C77" s="12" t="s">
        <v>34</v>
      </c>
      <c r="D77" s="24" t="n">
        <v>3</v>
      </c>
      <c r="E77" s="24" t="s">
        <v>82</v>
      </c>
      <c r="F77" s="12" t="s">
        <v>89</v>
      </c>
      <c r="G77" s="24" t="n">
        <v>153</v>
      </c>
      <c r="H77" s="32" t="b">
        <f aca="false">OR(Planner!$E$15=$E77,Planner!$F$15=$E77)</f>
        <v>0</v>
      </c>
      <c r="I77" s="32" t="b">
        <f aca="false">FALSE()</f>
        <v>0</v>
      </c>
      <c r="J77" s="13"/>
    </row>
    <row r="78" customFormat="false" ht="15" hidden="false" customHeight="false" outlineLevel="0" collapsed="false">
      <c r="A78" s="10" t="n">
        <v>46154</v>
      </c>
      <c r="B78" s="22" t="s">
        <v>33</v>
      </c>
      <c r="C78" s="12" t="s">
        <v>34</v>
      </c>
      <c r="D78" s="24" t="n">
        <v>3</v>
      </c>
      <c r="E78" s="24" t="s">
        <v>84</v>
      </c>
      <c r="F78" s="12" t="s">
        <v>102</v>
      </c>
      <c r="G78" s="24" t="n">
        <v>78</v>
      </c>
      <c r="H78" s="32" t="b">
        <f aca="false">OR(Planner!$E$15=$E78,Planner!$F$15=$E78)</f>
        <v>0</v>
      </c>
      <c r="I78" s="32" t="b">
        <f aca="false">FALSE()</f>
        <v>0</v>
      </c>
      <c r="J78" s="13"/>
    </row>
    <row r="79" customFormat="false" ht="15" hidden="false" customHeight="false" outlineLevel="0" collapsed="false">
      <c r="A79" s="10" t="n">
        <v>46154</v>
      </c>
      <c r="B79" s="22" t="s">
        <v>33</v>
      </c>
      <c r="C79" s="12" t="s">
        <v>34</v>
      </c>
      <c r="D79" s="24" t="n">
        <v>3</v>
      </c>
      <c r="E79" s="24" t="s">
        <v>84</v>
      </c>
      <c r="F79" s="12" t="s">
        <v>106</v>
      </c>
      <c r="G79" s="24" t="n">
        <v>28</v>
      </c>
      <c r="H79" s="32" t="b">
        <f aca="false">OR(Planner!$E$15=$E79,Planner!$F$15=$E79)</f>
        <v>0</v>
      </c>
      <c r="I79" s="32" t="b">
        <f aca="false">FALSE()</f>
        <v>0</v>
      </c>
      <c r="J79" s="13"/>
    </row>
    <row r="80" customFormat="false" ht="15" hidden="false" customHeight="false" outlineLevel="0" collapsed="false">
      <c r="A80" s="10" t="n">
        <v>46154</v>
      </c>
      <c r="B80" s="22" t="s">
        <v>33</v>
      </c>
      <c r="C80" s="12" t="s">
        <v>34</v>
      </c>
      <c r="D80" s="24" t="n">
        <v>3</v>
      </c>
      <c r="E80" s="24" t="s">
        <v>84</v>
      </c>
      <c r="F80" s="12" t="s">
        <v>90</v>
      </c>
      <c r="G80" s="24" t="n">
        <v>72</v>
      </c>
      <c r="H80" s="32" t="b">
        <f aca="false">OR(Planner!$E$15=$E80,Planner!$F$15=$E80)</f>
        <v>0</v>
      </c>
      <c r="I80" s="32" t="b">
        <f aca="false">FALSE()</f>
        <v>0</v>
      </c>
      <c r="J80" s="13"/>
    </row>
    <row r="81" customFormat="false" ht="15" hidden="false" customHeight="false" outlineLevel="0" collapsed="false">
      <c r="A81" s="10" t="n">
        <v>46154</v>
      </c>
      <c r="B81" s="22" t="s">
        <v>33</v>
      </c>
      <c r="C81" s="12" t="s">
        <v>34</v>
      </c>
      <c r="D81" s="24" t="n">
        <v>3</v>
      </c>
      <c r="E81" s="24" t="s">
        <v>99</v>
      </c>
      <c r="F81" s="12" t="s">
        <v>107</v>
      </c>
      <c r="G81" s="24" t="n">
        <v>11</v>
      </c>
      <c r="H81" s="32" t="b">
        <f aca="false">OR(Planner!$E$15=$E81,Planner!$F$15=$E81)</f>
        <v>0</v>
      </c>
      <c r="I81" s="32" t="b">
        <f aca="false">FALSE()</f>
        <v>0</v>
      </c>
      <c r="J81" s="13"/>
    </row>
    <row r="82" customFormat="false" ht="15" hidden="false" customHeight="false" outlineLevel="0" collapsed="false">
      <c r="A82" s="10" t="n">
        <v>46154</v>
      </c>
      <c r="B82" s="22" t="s">
        <v>33</v>
      </c>
      <c r="C82" s="12" t="s">
        <v>34</v>
      </c>
      <c r="D82" s="24" t="n">
        <v>3</v>
      </c>
      <c r="E82" s="24" t="s">
        <v>99</v>
      </c>
      <c r="F82" s="12" t="s">
        <v>108</v>
      </c>
      <c r="G82" s="24" t="n">
        <v>5</v>
      </c>
      <c r="H82" s="32" t="b">
        <f aca="false">OR(Planner!$E$15=$E82,Planner!$F$15=$E82)</f>
        <v>0</v>
      </c>
      <c r="I82" s="32" t="b">
        <f aca="false">FALSE()</f>
        <v>0</v>
      </c>
      <c r="J82" s="13"/>
    </row>
    <row r="83" customFormat="false" ht="15" hidden="false" customHeight="false" outlineLevel="0" collapsed="false">
      <c r="A83" s="10" t="n">
        <v>46154</v>
      </c>
      <c r="B83" s="22" t="s">
        <v>33</v>
      </c>
      <c r="C83" s="12" t="s">
        <v>34</v>
      </c>
      <c r="D83" s="24" t="n">
        <v>3</v>
      </c>
      <c r="E83" s="24" t="s">
        <v>99</v>
      </c>
      <c r="F83" s="12" t="s">
        <v>109</v>
      </c>
      <c r="G83" s="24" t="n">
        <v>11</v>
      </c>
      <c r="H83" s="32" t="b">
        <f aca="false">OR(Planner!$E$15=$E83,Planner!$F$15=$E83)</f>
        <v>0</v>
      </c>
      <c r="I83" s="32" t="b">
        <f aca="false">FALSE()</f>
        <v>0</v>
      </c>
      <c r="J83" s="13"/>
    </row>
    <row r="84" customFormat="false" ht="15" hidden="false" customHeight="false" outlineLevel="0" collapsed="false">
      <c r="A84" s="10" t="n">
        <v>46154</v>
      </c>
      <c r="B84" s="22" t="s">
        <v>33</v>
      </c>
      <c r="C84" s="12" t="s">
        <v>34</v>
      </c>
      <c r="D84" s="24" t="n">
        <v>3</v>
      </c>
      <c r="E84" s="24" t="s">
        <v>95</v>
      </c>
      <c r="F84" s="12" t="s">
        <v>110</v>
      </c>
      <c r="G84" s="24" t="n">
        <v>22</v>
      </c>
      <c r="H84" s="32" t="b">
        <f aca="false">OR(Planner!$E$15=$E84,Planner!$F$15=$E84)</f>
        <v>0</v>
      </c>
      <c r="I84" s="32" t="b">
        <f aca="false">FALSE()</f>
        <v>0</v>
      </c>
      <c r="J84" s="13"/>
    </row>
    <row r="85" customFormat="false" ht="23.85" hidden="false" customHeight="false" outlineLevel="0" collapsed="false">
      <c r="A85" s="10" t="n">
        <v>46154</v>
      </c>
      <c r="B85" s="22" t="s">
        <v>33</v>
      </c>
      <c r="C85" s="12" t="s">
        <v>34</v>
      </c>
      <c r="D85" s="24" t="n">
        <v>3</v>
      </c>
      <c r="E85" s="24" t="s">
        <v>95</v>
      </c>
      <c r="F85" s="12" t="s">
        <v>111</v>
      </c>
      <c r="G85" s="24" t="n">
        <v>18</v>
      </c>
      <c r="H85" s="32" t="b">
        <f aca="false">OR(Planner!$E$15=$E85,Planner!$F$15=$E85)</f>
        <v>0</v>
      </c>
      <c r="I85" s="32" t="b">
        <f aca="false">FALSE()</f>
        <v>0</v>
      </c>
      <c r="J85" s="13"/>
    </row>
    <row r="86" customFormat="false" ht="15" hidden="false" customHeight="false" outlineLevel="0" collapsed="false">
      <c r="A86" s="10" t="n">
        <v>46154</v>
      </c>
      <c r="B86" s="22" t="s">
        <v>33</v>
      </c>
      <c r="C86" s="12" t="s">
        <v>34</v>
      </c>
      <c r="D86" s="24" t="n">
        <v>3</v>
      </c>
      <c r="E86" s="24" t="s">
        <v>95</v>
      </c>
      <c r="F86" s="12" t="s">
        <v>112</v>
      </c>
      <c r="G86" s="24" t="n">
        <v>19</v>
      </c>
      <c r="H86" s="32" t="b">
        <f aca="false">OR(Planner!$E$15=$E86,Planner!$F$15=$E86)</f>
        <v>0</v>
      </c>
      <c r="I86" s="32" t="b">
        <f aca="false">FALSE()</f>
        <v>0</v>
      </c>
      <c r="J86" s="13"/>
    </row>
    <row r="87" customFormat="false" ht="15" hidden="false" customHeight="false" outlineLevel="0" collapsed="false">
      <c r="A87" s="10" t="n">
        <v>46154</v>
      </c>
      <c r="B87" s="22" t="s">
        <v>33</v>
      </c>
      <c r="C87" s="12" t="s">
        <v>34</v>
      </c>
      <c r="D87" s="24" t="n">
        <v>3</v>
      </c>
      <c r="E87" s="24" t="s">
        <v>86</v>
      </c>
      <c r="F87" s="12" t="s">
        <v>91</v>
      </c>
      <c r="G87" s="24" t="n">
        <v>22</v>
      </c>
      <c r="H87" s="32" t="b">
        <f aca="false">OR(Planner!$E$15=$E87,Planner!$F$15=$E87)</f>
        <v>0</v>
      </c>
      <c r="I87" s="32" t="b">
        <f aca="false">FALSE()</f>
        <v>0</v>
      </c>
      <c r="J87" s="13"/>
    </row>
    <row r="88" customFormat="false" ht="23.85" hidden="false" customHeight="false" outlineLevel="0" collapsed="false">
      <c r="A88" s="10" t="n">
        <v>46154</v>
      </c>
      <c r="B88" s="22" t="s">
        <v>33</v>
      </c>
      <c r="C88" s="12" t="s">
        <v>34</v>
      </c>
      <c r="D88" s="24" t="n">
        <v>3</v>
      </c>
      <c r="E88" s="24" t="s">
        <v>86</v>
      </c>
      <c r="F88" s="12" t="s">
        <v>92</v>
      </c>
      <c r="G88" s="24" t="n">
        <v>25</v>
      </c>
      <c r="H88" s="32" t="b">
        <f aca="false">OR(Planner!$E$15=$E88,Planner!$F$15=$E88)</f>
        <v>0</v>
      </c>
      <c r="I88" s="32" t="b">
        <f aca="false">FALSE()</f>
        <v>0</v>
      </c>
      <c r="J88" s="13"/>
    </row>
    <row r="89" customFormat="false" ht="15" hidden="false" customHeight="false" outlineLevel="0" collapsed="false">
      <c r="A89" s="10" t="n">
        <v>46154</v>
      </c>
      <c r="B89" s="22" t="s">
        <v>33</v>
      </c>
      <c r="C89" s="12" t="s">
        <v>34</v>
      </c>
      <c r="D89" s="24" t="n">
        <v>3</v>
      </c>
      <c r="E89" s="24" t="s">
        <v>86</v>
      </c>
      <c r="F89" s="12" t="s">
        <v>103</v>
      </c>
      <c r="G89" s="24" t="n">
        <v>21</v>
      </c>
      <c r="H89" s="32" t="b">
        <f aca="false">OR(Planner!$E$15=$E89,Planner!$F$15=$E89)</f>
        <v>0</v>
      </c>
      <c r="I89" s="32" t="b">
        <f aca="false">FALSE()</f>
        <v>0</v>
      </c>
      <c r="J89" s="13"/>
    </row>
    <row r="90" customFormat="false" ht="15" hidden="false" customHeight="false" outlineLevel="0" collapsed="false">
      <c r="A90" s="10" t="n">
        <v>46154</v>
      </c>
      <c r="B90" s="22" t="s">
        <v>33</v>
      </c>
      <c r="C90" s="12" t="s">
        <v>34</v>
      </c>
      <c r="D90" s="24" t="n">
        <v>3</v>
      </c>
      <c r="E90" s="24" t="s">
        <v>86</v>
      </c>
      <c r="F90" s="12" t="s">
        <v>104</v>
      </c>
      <c r="G90" s="24" t="n">
        <v>19</v>
      </c>
      <c r="H90" s="32" t="b">
        <f aca="false">OR(Planner!$E$15=$E90,Planner!$F$15=$E90)</f>
        <v>0</v>
      </c>
      <c r="I90" s="32" t="b">
        <f aca="false">FALSE()</f>
        <v>0</v>
      </c>
      <c r="J90" s="13"/>
    </row>
    <row r="91" customFormat="false" ht="15" hidden="false" customHeight="false" outlineLevel="0" collapsed="false">
      <c r="A91" s="10" t="n">
        <v>46154</v>
      </c>
      <c r="B91" s="22" t="s">
        <v>33</v>
      </c>
      <c r="C91" s="12" t="s">
        <v>34</v>
      </c>
      <c r="D91" s="24" t="n">
        <v>3</v>
      </c>
      <c r="E91" s="24" t="s">
        <v>86</v>
      </c>
      <c r="F91" s="12" t="s">
        <v>113</v>
      </c>
      <c r="G91" s="24" t="n">
        <v>29</v>
      </c>
      <c r="H91" s="32" t="b">
        <f aca="false">OR(Planner!$E$15=$E91,Planner!$F$15=$E91)</f>
        <v>0</v>
      </c>
      <c r="I91" s="32" t="b">
        <f aca="false">FALSE()</f>
        <v>0</v>
      </c>
      <c r="J91" s="13"/>
    </row>
    <row r="92" customFormat="false" ht="15" hidden="false" customHeight="false" outlineLevel="0" collapsed="false">
      <c r="A92" s="10" t="n">
        <v>46154</v>
      </c>
      <c r="B92" s="22" t="s">
        <v>33</v>
      </c>
      <c r="C92" s="12" t="s">
        <v>34</v>
      </c>
      <c r="D92" s="24" t="n">
        <v>3</v>
      </c>
      <c r="E92" s="24" t="s">
        <v>86</v>
      </c>
      <c r="F92" s="12" t="s">
        <v>114</v>
      </c>
      <c r="G92" s="24" t="n">
        <v>12</v>
      </c>
      <c r="H92" s="32" t="b">
        <f aca="false">OR(Planner!$E$15=$E92,Planner!$F$15=$E92)</f>
        <v>0</v>
      </c>
      <c r="I92" s="32" t="b">
        <f aca="false">FALSE()</f>
        <v>0</v>
      </c>
      <c r="J92" s="13"/>
    </row>
    <row r="93" customFormat="false" ht="15" hidden="false" customHeight="false" outlineLevel="0" collapsed="false">
      <c r="A93" s="10" t="n">
        <v>46154</v>
      </c>
      <c r="B93" s="16" t="s">
        <v>21</v>
      </c>
      <c r="C93" s="12" t="s">
        <v>35</v>
      </c>
      <c r="D93" s="24" t="n">
        <v>1</v>
      </c>
      <c r="E93" s="31" t="s">
        <v>78</v>
      </c>
      <c r="F93" s="12" t="s">
        <v>79</v>
      </c>
      <c r="G93" s="24" t="n">
        <v>15</v>
      </c>
      <c r="H93" s="32" t="b">
        <f aca="false">TRUE()</f>
        <v>1</v>
      </c>
      <c r="I93" s="32" t="b">
        <f aca="false">FALSE()</f>
        <v>0</v>
      </c>
      <c r="J93" s="13"/>
    </row>
    <row r="94" customFormat="false" ht="15" hidden="false" customHeight="false" outlineLevel="0" collapsed="false">
      <c r="A94" s="10" t="n">
        <v>46154</v>
      </c>
      <c r="B94" s="16" t="s">
        <v>21</v>
      </c>
      <c r="C94" s="12" t="s">
        <v>35</v>
      </c>
      <c r="D94" s="24" t="n">
        <v>2</v>
      </c>
      <c r="E94" s="33" t="s">
        <v>80</v>
      </c>
      <c r="F94" s="12" t="s">
        <v>81</v>
      </c>
      <c r="G94" s="24" t="n">
        <v>60</v>
      </c>
      <c r="H94" s="32" t="b">
        <f aca="false">Planner!$D16="Yes"</f>
        <v>0</v>
      </c>
      <c r="I94" s="32" t="b">
        <f aca="false">FALSE()</f>
        <v>0</v>
      </c>
      <c r="J94" s="13"/>
    </row>
    <row r="95" customFormat="false" ht="15" hidden="false" customHeight="false" outlineLevel="0" collapsed="false">
      <c r="A95" s="10" t="n">
        <v>46154</v>
      </c>
      <c r="B95" s="16" t="s">
        <v>21</v>
      </c>
      <c r="C95" s="12" t="s">
        <v>35</v>
      </c>
      <c r="D95" s="24" t="n">
        <v>3</v>
      </c>
      <c r="E95" s="24" t="s">
        <v>82</v>
      </c>
      <c r="F95" s="12" t="s">
        <v>101</v>
      </c>
      <c r="G95" s="24" t="n">
        <v>113</v>
      </c>
      <c r="H95" s="32" t="b">
        <f aca="false">OR(Planner!$E$16=$E95,Planner!$F$16=$E95)</f>
        <v>0</v>
      </c>
      <c r="I95" s="32" t="b">
        <f aca="false">FALSE()</f>
        <v>0</v>
      </c>
      <c r="J95" s="13"/>
    </row>
    <row r="96" customFormat="false" ht="15" hidden="false" customHeight="false" outlineLevel="0" collapsed="false">
      <c r="A96" s="10" t="n">
        <v>46154</v>
      </c>
      <c r="B96" s="16" t="s">
        <v>21</v>
      </c>
      <c r="C96" s="12" t="s">
        <v>35</v>
      </c>
      <c r="D96" s="24" t="n">
        <v>3</v>
      </c>
      <c r="E96" s="24" t="s">
        <v>84</v>
      </c>
      <c r="F96" s="12" t="s">
        <v>102</v>
      </c>
      <c r="G96" s="24" t="n">
        <v>78</v>
      </c>
      <c r="H96" s="32" t="b">
        <f aca="false">OR(Planner!$E$16=$E96,Planner!$F$16=$E96)</f>
        <v>0</v>
      </c>
      <c r="I96" s="32" t="b">
        <f aca="false">FALSE()</f>
        <v>0</v>
      </c>
      <c r="J96" s="13"/>
    </row>
    <row r="97" customFormat="false" ht="15" hidden="false" customHeight="false" outlineLevel="0" collapsed="false">
      <c r="A97" s="10" t="n">
        <v>46154</v>
      </c>
      <c r="B97" s="16" t="s">
        <v>21</v>
      </c>
      <c r="C97" s="12" t="s">
        <v>35</v>
      </c>
      <c r="D97" s="24" t="n">
        <v>3</v>
      </c>
      <c r="E97" s="24" t="s">
        <v>86</v>
      </c>
      <c r="F97" s="12" t="s">
        <v>103</v>
      </c>
      <c r="G97" s="24" t="n">
        <v>21</v>
      </c>
      <c r="H97" s="32" t="b">
        <f aca="false">OR(Planner!$E$16=$E97,Planner!$F$16=$E97)</f>
        <v>0</v>
      </c>
      <c r="I97" s="32" t="b">
        <f aca="false">FALSE()</f>
        <v>0</v>
      </c>
      <c r="J97" s="13"/>
    </row>
    <row r="98" customFormat="false" ht="15" hidden="false" customHeight="false" outlineLevel="0" collapsed="false">
      <c r="A98" s="10" t="n">
        <v>46154</v>
      </c>
      <c r="B98" s="16" t="s">
        <v>21</v>
      </c>
      <c r="C98" s="12" t="s">
        <v>35</v>
      </c>
      <c r="D98" s="24" t="n">
        <v>3</v>
      </c>
      <c r="E98" s="24" t="s">
        <v>86</v>
      </c>
      <c r="F98" s="12" t="s">
        <v>104</v>
      </c>
      <c r="G98" s="24" t="n">
        <v>19</v>
      </c>
      <c r="H98" s="32" t="b">
        <f aca="false">OR(Planner!$E$16=$E98,Planner!$F$16=$E98)</f>
        <v>0</v>
      </c>
      <c r="I98" s="32" t="b">
        <f aca="false">FALSE()</f>
        <v>0</v>
      </c>
      <c r="J98" s="13"/>
    </row>
    <row r="99" customFormat="false" ht="15" hidden="false" customHeight="false" outlineLevel="0" collapsed="false">
      <c r="A99" s="10" t="n">
        <v>46155</v>
      </c>
      <c r="B99" s="20" t="s">
        <v>27</v>
      </c>
      <c r="C99" s="12" t="s">
        <v>36</v>
      </c>
      <c r="D99" s="24" t="n">
        <v>1</v>
      </c>
      <c r="E99" s="31" t="s">
        <v>78</v>
      </c>
      <c r="F99" s="12" t="s">
        <v>79</v>
      </c>
      <c r="G99" s="24" t="n">
        <v>15</v>
      </c>
      <c r="H99" s="32" t="b">
        <f aca="false">TRUE()</f>
        <v>1</v>
      </c>
      <c r="I99" s="32" t="b">
        <f aca="false">FALSE()</f>
        <v>0</v>
      </c>
      <c r="J99" s="13"/>
    </row>
    <row r="100" customFormat="false" ht="15" hidden="false" customHeight="false" outlineLevel="0" collapsed="false">
      <c r="A100" s="10" t="n">
        <v>46155</v>
      </c>
      <c r="B100" s="20" t="s">
        <v>27</v>
      </c>
      <c r="C100" s="12" t="s">
        <v>36</v>
      </c>
      <c r="D100" s="24" t="n">
        <v>2</v>
      </c>
      <c r="E100" s="33" t="s">
        <v>80</v>
      </c>
      <c r="F100" s="12" t="s">
        <v>81</v>
      </c>
      <c r="G100" s="24" t="n">
        <v>60</v>
      </c>
      <c r="H100" s="32" t="b">
        <f aca="false">Planner!$D17="Yes"</f>
        <v>0</v>
      </c>
      <c r="I100" s="32" t="b">
        <f aca="false">FALSE()</f>
        <v>0</v>
      </c>
      <c r="J100" s="13"/>
    </row>
    <row r="101" customFormat="false" ht="15" hidden="false" customHeight="false" outlineLevel="0" collapsed="false">
      <c r="A101" s="10" t="n">
        <v>46155</v>
      </c>
      <c r="B101" s="20" t="s">
        <v>27</v>
      </c>
      <c r="C101" s="12" t="s">
        <v>36</v>
      </c>
      <c r="D101" s="24" t="n">
        <v>3</v>
      </c>
      <c r="E101" s="24" t="s">
        <v>82</v>
      </c>
      <c r="F101" s="12" t="s">
        <v>101</v>
      </c>
      <c r="G101" s="24" t="n">
        <v>113</v>
      </c>
      <c r="H101" s="32" t="b">
        <f aca="false">OR(Planner!$E$17=$E101,Planner!$F$17=$E101)</f>
        <v>0</v>
      </c>
      <c r="I101" s="32" t="b">
        <f aca="false">FALSE()</f>
        <v>0</v>
      </c>
      <c r="J101" s="13"/>
    </row>
    <row r="102" customFormat="false" ht="15" hidden="false" customHeight="false" outlineLevel="0" collapsed="false">
      <c r="A102" s="10" t="n">
        <v>46155</v>
      </c>
      <c r="B102" s="20" t="s">
        <v>27</v>
      </c>
      <c r="C102" s="12" t="s">
        <v>36</v>
      </c>
      <c r="D102" s="24" t="n">
        <v>3</v>
      </c>
      <c r="E102" s="24" t="s">
        <v>82</v>
      </c>
      <c r="F102" s="12" t="s">
        <v>105</v>
      </c>
      <c r="G102" s="24" t="n">
        <v>57</v>
      </c>
      <c r="H102" s="32" t="b">
        <f aca="false">OR(Planner!$E$17=$E102,Planner!$F$17=$E102)</f>
        <v>0</v>
      </c>
      <c r="I102" s="32" t="b">
        <f aca="false">FALSE()</f>
        <v>0</v>
      </c>
      <c r="J102" s="13"/>
    </row>
    <row r="103" customFormat="false" ht="15" hidden="false" customHeight="false" outlineLevel="0" collapsed="false">
      <c r="A103" s="10" t="n">
        <v>46155</v>
      </c>
      <c r="B103" s="20" t="s">
        <v>27</v>
      </c>
      <c r="C103" s="12" t="s">
        <v>36</v>
      </c>
      <c r="D103" s="24" t="n">
        <v>3</v>
      </c>
      <c r="E103" s="24" t="s">
        <v>84</v>
      </c>
      <c r="F103" s="12" t="s">
        <v>102</v>
      </c>
      <c r="G103" s="24" t="n">
        <v>78</v>
      </c>
      <c r="H103" s="32" t="b">
        <f aca="false">OR(Planner!$E$17=$E103,Planner!$F$17=$E103)</f>
        <v>0</v>
      </c>
      <c r="I103" s="32" t="b">
        <f aca="false">FALSE()</f>
        <v>0</v>
      </c>
      <c r="J103" s="13"/>
    </row>
    <row r="104" customFormat="false" ht="15" hidden="false" customHeight="false" outlineLevel="0" collapsed="false">
      <c r="A104" s="10" t="n">
        <v>46155</v>
      </c>
      <c r="B104" s="20" t="s">
        <v>27</v>
      </c>
      <c r="C104" s="12" t="s">
        <v>36</v>
      </c>
      <c r="D104" s="24" t="n">
        <v>3</v>
      </c>
      <c r="E104" s="24" t="s">
        <v>84</v>
      </c>
      <c r="F104" s="12" t="s">
        <v>106</v>
      </c>
      <c r="G104" s="24" t="n">
        <v>28</v>
      </c>
      <c r="H104" s="32" t="b">
        <f aca="false">OR(Planner!$E$17=$E104,Planner!$F$17=$E104)</f>
        <v>0</v>
      </c>
      <c r="I104" s="32" t="b">
        <f aca="false">FALSE()</f>
        <v>0</v>
      </c>
      <c r="J104" s="13"/>
    </row>
    <row r="105" customFormat="false" ht="15" hidden="false" customHeight="false" outlineLevel="0" collapsed="false">
      <c r="A105" s="10" t="n">
        <v>46155</v>
      </c>
      <c r="B105" s="20" t="s">
        <v>27</v>
      </c>
      <c r="C105" s="12" t="s">
        <v>36</v>
      </c>
      <c r="D105" s="24" t="n">
        <v>3</v>
      </c>
      <c r="E105" s="24" t="s">
        <v>99</v>
      </c>
      <c r="F105" s="12" t="s">
        <v>107</v>
      </c>
      <c r="G105" s="24" t="n">
        <v>11</v>
      </c>
      <c r="H105" s="32" t="b">
        <f aca="false">OR(Planner!$E$17=$E105,Planner!$F$17=$E105)</f>
        <v>0</v>
      </c>
      <c r="I105" s="32" t="b">
        <f aca="false">FALSE()</f>
        <v>0</v>
      </c>
      <c r="J105" s="13"/>
    </row>
    <row r="106" customFormat="false" ht="15" hidden="false" customHeight="false" outlineLevel="0" collapsed="false">
      <c r="A106" s="10" t="n">
        <v>46155</v>
      </c>
      <c r="B106" s="20" t="s">
        <v>27</v>
      </c>
      <c r="C106" s="12" t="s">
        <v>36</v>
      </c>
      <c r="D106" s="24" t="n">
        <v>3</v>
      </c>
      <c r="E106" s="24" t="s">
        <v>99</v>
      </c>
      <c r="F106" s="12" t="s">
        <v>108</v>
      </c>
      <c r="G106" s="24" t="n">
        <v>5</v>
      </c>
      <c r="H106" s="32" t="b">
        <f aca="false">OR(Planner!$E$17=$E106,Planner!$F$17=$E106)</f>
        <v>0</v>
      </c>
      <c r="I106" s="32" t="b">
        <f aca="false">FALSE()</f>
        <v>0</v>
      </c>
      <c r="J106" s="13"/>
    </row>
    <row r="107" customFormat="false" ht="15" hidden="false" customHeight="false" outlineLevel="0" collapsed="false">
      <c r="A107" s="10" t="n">
        <v>46155</v>
      </c>
      <c r="B107" s="20" t="s">
        <v>27</v>
      </c>
      <c r="C107" s="12" t="s">
        <v>36</v>
      </c>
      <c r="D107" s="24" t="n">
        <v>3</v>
      </c>
      <c r="E107" s="24" t="s">
        <v>99</v>
      </c>
      <c r="F107" s="12" t="s">
        <v>109</v>
      </c>
      <c r="G107" s="24" t="n">
        <v>11</v>
      </c>
      <c r="H107" s="32" t="b">
        <f aca="false">OR(Planner!$E$17=$E107,Planner!$F$17=$E107)</f>
        <v>0</v>
      </c>
      <c r="I107" s="32" t="b">
        <f aca="false">FALSE()</f>
        <v>0</v>
      </c>
      <c r="J107" s="13"/>
    </row>
    <row r="108" customFormat="false" ht="15" hidden="false" customHeight="false" outlineLevel="0" collapsed="false">
      <c r="A108" s="10" t="n">
        <v>46155</v>
      </c>
      <c r="B108" s="20" t="s">
        <v>27</v>
      </c>
      <c r="C108" s="12" t="s">
        <v>36</v>
      </c>
      <c r="D108" s="24" t="n">
        <v>3</v>
      </c>
      <c r="E108" s="24" t="s">
        <v>95</v>
      </c>
      <c r="F108" s="12" t="s">
        <v>110</v>
      </c>
      <c r="G108" s="24" t="n">
        <v>22</v>
      </c>
      <c r="H108" s="32" t="b">
        <f aca="false">OR(Planner!$E$17=$E108,Planner!$F$17=$E108)</f>
        <v>0</v>
      </c>
      <c r="I108" s="32" t="b">
        <f aca="false">FALSE()</f>
        <v>0</v>
      </c>
      <c r="J108" s="13"/>
    </row>
    <row r="109" customFormat="false" ht="23.85" hidden="false" customHeight="false" outlineLevel="0" collapsed="false">
      <c r="A109" s="10" t="n">
        <v>46155</v>
      </c>
      <c r="B109" s="20" t="s">
        <v>27</v>
      </c>
      <c r="C109" s="12" t="s">
        <v>36</v>
      </c>
      <c r="D109" s="24" t="n">
        <v>3</v>
      </c>
      <c r="E109" s="24" t="s">
        <v>95</v>
      </c>
      <c r="F109" s="12" t="s">
        <v>111</v>
      </c>
      <c r="G109" s="24" t="n">
        <v>18</v>
      </c>
      <c r="H109" s="32" t="b">
        <f aca="false">OR(Planner!$E$17=$E109,Planner!$F$17=$E109)</f>
        <v>0</v>
      </c>
      <c r="I109" s="32" t="b">
        <f aca="false">FALSE()</f>
        <v>0</v>
      </c>
      <c r="J109" s="13"/>
    </row>
    <row r="110" customFormat="false" ht="15" hidden="false" customHeight="false" outlineLevel="0" collapsed="false">
      <c r="A110" s="10" t="n">
        <v>46155</v>
      </c>
      <c r="B110" s="20" t="s">
        <v>27</v>
      </c>
      <c r="C110" s="12" t="s">
        <v>36</v>
      </c>
      <c r="D110" s="24" t="n">
        <v>3</v>
      </c>
      <c r="E110" s="24" t="s">
        <v>95</v>
      </c>
      <c r="F110" s="12" t="s">
        <v>112</v>
      </c>
      <c r="G110" s="24" t="n">
        <v>19</v>
      </c>
      <c r="H110" s="32" t="b">
        <f aca="false">OR(Planner!$E$17=$E110,Planner!$F$17=$E110)</f>
        <v>0</v>
      </c>
      <c r="I110" s="32" t="b">
        <f aca="false">FALSE()</f>
        <v>0</v>
      </c>
      <c r="J110" s="13"/>
    </row>
    <row r="111" customFormat="false" ht="15" hidden="false" customHeight="false" outlineLevel="0" collapsed="false">
      <c r="A111" s="10" t="n">
        <v>46155</v>
      </c>
      <c r="B111" s="20" t="s">
        <v>27</v>
      </c>
      <c r="C111" s="12" t="s">
        <v>36</v>
      </c>
      <c r="D111" s="24" t="n">
        <v>3</v>
      </c>
      <c r="E111" s="24" t="s">
        <v>86</v>
      </c>
      <c r="F111" s="12" t="s">
        <v>103</v>
      </c>
      <c r="G111" s="24" t="n">
        <v>21</v>
      </c>
      <c r="H111" s="32" t="b">
        <f aca="false">OR(Planner!$E$17=$E111,Planner!$F$17=$E111)</f>
        <v>0</v>
      </c>
      <c r="I111" s="32" t="b">
        <f aca="false">FALSE()</f>
        <v>0</v>
      </c>
      <c r="J111" s="13"/>
    </row>
    <row r="112" customFormat="false" ht="15" hidden="false" customHeight="false" outlineLevel="0" collapsed="false">
      <c r="A112" s="10" t="n">
        <v>46155</v>
      </c>
      <c r="B112" s="20" t="s">
        <v>27</v>
      </c>
      <c r="C112" s="12" t="s">
        <v>36</v>
      </c>
      <c r="D112" s="24" t="n">
        <v>3</v>
      </c>
      <c r="E112" s="24" t="s">
        <v>86</v>
      </c>
      <c r="F112" s="12" t="s">
        <v>104</v>
      </c>
      <c r="G112" s="24" t="n">
        <v>19</v>
      </c>
      <c r="H112" s="32" t="b">
        <f aca="false">OR(Planner!$E$17=$E112,Planner!$F$17=$E112)</f>
        <v>0</v>
      </c>
      <c r="I112" s="32" t="b">
        <f aca="false">FALSE()</f>
        <v>0</v>
      </c>
      <c r="J112" s="13"/>
    </row>
    <row r="113" customFormat="false" ht="15" hidden="false" customHeight="false" outlineLevel="0" collapsed="false">
      <c r="A113" s="10" t="n">
        <v>46155</v>
      </c>
      <c r="B113" s="20" t="s">
        <v>27</v>
      </c>
      <c r="C113" s="12" t="s">
        <v>36</v>
      </c>
      <c r="D113" s="24" t="n">
        <v>3</v>
      </c>
      <c r="E113" s="24" t="s">
        <v>86</v>
      </c>
      <c r="F113" s="12" t="s">
        <v>113</v>
      </c>
      <c r="G113" s="24" t="n">
        <v>29</v>
      </c>
      <c r="H113" s="32" t="b">
        <f aca="false">OR(Planner!$E$17=$E113,Planner!$F$17=$E113)</f>
        <v>0</v>
      </c>
      <c r="I113" s="32" t="b">
        <f aca="false">FALSE()</f>
        <v>0</v>
      </c>
      <c r="J113" s="13"/>
    </row>
    <row r="114" customFormat="false" ht="15" hidden="false" customHeight="false" outlineLevel="0" collapsed="false">
      <c r="A114" s="10" t="n">
        <v>46155</v>
      </c>
      <c r="B114" s="20" t="s">
        <v>27</v>
      </c>
      <c r="C114" s="12" t="s">
        <v>36</v>
      </c>
      <c r="D114" s="24" t="n">
        <v>3</v>
      </c>
      <c r="E114" s="24" t="s">
        <v>86</v>
      </c>
      <c r="F114" s="12" t="s">
        <v>114</v>
      </c>
      <c r="G114" s="24" t="n">
        <v>12</v>
      </c>
      <c r="H114" s="32" t="b">
        <f aca="false">OR(Planner!$E$17=$E114,Planner!$F$17=$E114)</f>
        <v>0</v>
      </c>
      <c r="I114" s="32" t="b">
        <f aca="false">FALSE()</f>
        <v>0</v>
      </c>
      <c r="J114" s="13"/>
    </row>
    <row r="115" customFormat="false" ht="23.85" hidden="false" customHeight="false" outlineLevel="0" collapsed="false">
      <c r="A115" s="10" t="n">
        <v>46156</v>
      </c>
      <c r="B115" s="21" t="s">
        <v>29</v>
      </c>
      <c r="C115" s="12" t="s">
        <v>37</v>
      </c>
      <c r="D115" s="24" t="n">
        <v>1</v>
      </c>
      <c r="E115" s="31" t="s">
        <v>78</v>
      </c>
      <c r="F115" s="12" t="s">
        <v>79</v>
      </c>
      <c r="G115" s="24" t="n">
        <v>15</v>
      </c>
      <c r="H115" s="32" t="b">
        <f aca="false">TRUE()</f>
        <v>1</v>
      </c>
      <c r="I115" s="32" t="b">
        <f aca="false">FALSE()</f>
        <v>0</v>
      </c>
      <c r="J115" s="13"/>
    </row>
    <row r="116" customFormat="false" ht="23.85" hidden="false" customHeight="false" outlineLevel="0" collapsed="false">
      <c r="A116" s="10" t="n">
        <v>46156</v>
      </c>
      <c r="B116" s="21" t="s">
        <v>29</v>
      </c>
      <c r="C116" s="12" t="s">
        <v>37</v>
      </c>
      <c r="D116" s="24" t="n">
        <v>2</v>
      </c>
      <c r="E116" s="33" t="s">
        <v>80</v>
      </c>
      <c r="F116" s="12" t="s">
        <v>81</v>
      </c>
      <c r="G116" s="24" t="n">
        <v>60</v>
      </c>
      <c r="H116" s="32" t="b">
        <f aca="false">Planner!$D18="Yes"</f>
        <v>0</v>
      </c>
      <c r="I116" s="32" t="b">
        <f aca="false">FALSE()</f>
        <v>0</v>
      </c>
      <c r="J116" s="13"/>
    </row>
    <row r="117" customFormat="false" ht="23.85" hidden="false" customHeight="false" outlineLevel="0" collapsed="false">
      <c r="A117" s="10" t="n">
        <v>46156</v>
      </c>
      <c r="B117" s="21" t="s">
        <v>29</v>
      </c>
      <c r="C117" s="12" t="s">
        <v>37</v>
      </c>
      <c r="D117" s="24" t="n">
        <v>3</v>
      </c>
      <c r="E117" s="24" t="s">
        <v>82</v>
      </c>
      <c r="F117" s="12" t="s">
        <v>101</v>
      </c>
      <c r="G117" s="24" t="n">
        <v>113</v>
      </c>
      <c r="H117" s="32" t="b">
        <f aca="false">OR(Planner!$E$18=$E117,Planner!$F$18=$E117)</f>
        <v>0</v>
      </c>
      <c r="I117" s="32" t="b">
        <f aca="false">FALSE()</f>
        <v>0</v>
      </c>
      <c r="J117" s="13"/>
    </row>
    <row r="118" customFormat="false" ht="23.85" hidden="false" customHeight="false" outlineLevel="0" collapsed="false">
      <c r="A118" s="10" t="n">
        <v>46156</v>
      </c>
      <c r="B118" s="21" t="s">
        <v>29</v>
      </c>
      <c r="C118" s="12" t="s">
        <v>37</v>
      </c>
      <c r="D118" s="24" t="n">
        <v>3</v>
      </c>
      <c r="E118" s="24" t="s">
        <v>84</v>
      </c>
      <c r="F118" s="12" t="s">
        <v>102</v>
      </c>
      <c r="G118" s="24" t="n">
        <v>78</v>
      </c>
      <c r="H118" s="32" t="b">
        <f aca="false">OR(Planner!$E$18=$E118,Planner!$F$18=$E118)</f>
        <v>0</v>
      </c>
      <c r="I118" s="32" t="b">
        <f aca="false">FALSE()</f>
        <v>0</v>
      </c>
      <c r="J118" s="13"/>
    </row>
    <row r="119" customFormat="false" ht="23.85" hidden="false" customHeight="false" outlineLevel="0" collapsed="false">
      <c r="A119" s="10" t="n">
        <v>46156</v>
      </c>
      <c r="B119" s="21" t="s">
        <v>29</v>
      </c>
      <c r="C119" s="12" t="s">
        <v>37</v>
      </c>
      <c r="D119" s="24" t="n">
        <v>3</v>
      </c>
      <c r="E119" s="24" t="s">
        <v>95</v>
      </c>
      <c r="F119" s="12" t="s">
        <v>110</v>
      </c>
      <c r="G119" s="24" t="n">
        <v>22</v>
      </c>
      <c r="H119" s="32" t="b">
        <f aca="false">OR(Planner!$E$18=$E119,Planner!$F$18=$E119)</f>
        <v>0</v>
      </c>
      <c r="I119" s="32" t="b">
        <f aca="false">FALSE()</f>
        <v>0</v>
      </c>
      <c r="J119" s="13"/>
    </row>
    <row r="120" customFormat="false" ht="23.85" hidden="false" customHeight="false" outlineLevel="0" collapsed="false">
      <c r="A120" s="10" t="n">
        <v>46156</v>
      </c>
      <c r="B120" s="21" t="s">
        <v>29</v>
      </c>
      <c r="C120" s="12" t="s">
        <v>37</v>
      </c>
      <c r="D120" s="24" t="n">
        <v>3</v>
      </c>
      <c r="E120" s="24" t="s">
        <v>86</v>
      </c>
      <c r="F120" s="12" t="s">
        <v>103</v>
      </c>
      <c r="G120" s="24" t="n">
        <v>21</v>
      </c>
      <c r="H120" s="32" t="b">
        <f aca="false">OR(Planner!$E$18=$E120,Planner!$F$18=$E120)</f>
        <v>0</v>
      </c>
      <c r="I120" s="32" t="b">
        <f aca="false">FALSE()</f>
        <v>0</v>
      </c>
      <c r="J120" s="13"/>
    </row>
    <row r="121" customFormat="false" ht="23.85" hidden="false" customHeight="false" outlineLevel="0" collapsed="false">
      <c r="A121" s="10" t="n">
        <v>46156</v>
      </c>
      <c r="B121" s="21" t="s">
        <v>29</v>
      </c>
      <c r="C121" s="12" t="s">
        <v>37</v>
      </c>
      <c r="D121" s="24" t="n">
        <v>3</v>
      </c>
      <c r="E121" s="24" t="s">
        <v>86</v>
      </c>
      <c r="F121" s="12" t="s">
        <v>104</v>
      </c>
      <c r="G121" s="24" t="n">
        <v>19</v>
      </c>
      <c r="H121" s="32" t="b">
        <f aca="false">OR(Planner!$E$18=$E121,Planner!$F$18=$E121)</f>
        <v>0</v>
      </c>
      <c r="I121" s="32" t="b">
        <f aca="false">FALSE()</f>
        <v>0</v>
      </c>
      <c r="J121" s="13"/>
    </row>
    <row r="122" customFormat="false" ht="15" hidden="false" customHeight="false" outlineLevel="0" collapsed="false">
      <c r="A122" s="10" t="n">
        <v>46162</v>
      </c>
      <c r="B122" s="16" t="s">
        <v>21</v>
      </c>
      <c r="C122" s="12" t="s">
        <v>38</v>
      </c>
      <c r="D122" s="24" t="n">
        <v>1</v>
      </c>
      <c r="E122" s="31" t="s">
        <v>78</v>
      </c>
      <c r="F122" s="12" t="s">
        <v>79</v>
      </c>
      <c r="G122" s="24" t="n">
        <v>15</v>
      </c>
      <c r="H122" s="32" t="b">
        <f aca="false">TRUE()</f>
        <v>1</v>
      </c>
      <c r="I122" s="32" t="b">
        <f aca="false">FALSE()</f>
        <v>0</v>
      </c>
      <c r="J122" s="13"/>
    </row>
    <row r="123" customFormat="false" ht="15" hidden="false" customHeight="false" outlineLevel="0" collapsed="false">
      <c r="A123" s="10" t="n">
        <v>46162</v>
      </c>
      <c r="B123" s="16" t="s">
        <v>21</v>
      </c>
      <c r="C123" s="12" t="s">
        <v>38</v>
      </c>
      <c r="D123" s="24" t="n">
        <v>2</v>
      </c>
      <c r="E123" s="33" t="s">
        <v>80</v>
      </c>
      <c r="F123" s="12" t="s">
        <v>81</v>
      </c>
      <c r="G123" s="24" t="n">
        <v>60</v>
      </c>
      <c r="H123" s="32" t="b">
        <f aca="false">Planner!$D19="Yes"</f>
        <v>0</v>
      </c>
      <c r="I123" s="32" t="b">
        <f aca="false">FALSE()</f>
        <v>0</v>
      </c>
      <c r="J123" s="13"/>
    </row>
    <row r="124" customFormat="false" ht="15" hidden="false" customHeight="false" outlineLevel="0" collapsed="false">
      <c r="A124" s="10" t="n">
        <v>46162</v>
      </c>
      <c r="B124" s="16" t="s">
        <v>21</v>
      </c>
      <c r="C124" s="12" t="s">
        <v>38</v>
      </c>
      <c r="D124" s="24" t="n">
        <v>3</v>
      </c>
      <c r="E124" s="24" t="s">
        <v>82</v>
      </c>
      <c r="F124" s="12" t="s">
        <v>89</v>
      </c>
      <c r="G124" s="24" t="n">
        <v>153</v>
      </c>
      <c r="H124" s="32" t="b">
        <f aca="false">OR(Planner!$E$19=$E124,Planner!$F$19=$E124)</f>
        <v>0</v>
      </c>
      <c r="I124" s="32" t="b">
        <f aca="false">FALSE()</f>
        <v>0</v>
      </c>
      <c r="J124" s="13"/>
    </row>
    <row r="125" customFormat="false" ht="15" hidden="false" customHeight="false" outlineLevel="0" collapsed="false">
      <c r="A125" s="10" t="n">
        <v>46162</v>
      </c>
      <c r="B125" s="16" t="s">
        <v>21</v>
      </c>
      <c r="C125" s="12" t="s">
        <v>38</v>
      </c>
      <c r="D125" s="24" t="n">
        <v>3</v>
      </c>
      <c r="E125" s="24" t="s">
        <v>84</v>
      </c>
      <c r="F125" s="12" t="s">
        <v>90</v>
      </c>
      <c r="G125" s="24" t="n">
        <v>72</v>
      </c>
      <c r="H125" s="32" t="b">
        <f aca="false">OR(Planner!$E$19=$E125,Planner!$F$19=$E125)</f>
        <v>0</v>
      </c>
      <c r="I125" s="32" t="b">
        <f aca="false">FALSE()</f>
        <v>0</v>
      </c>
      <c r="J125" s="13"/>
    </row>
    <row r="126" customFormat="false" ht="15" hidden="false" customHeight="false" outlineLevel="0" collapsed="false">
      <c r="A126" s="10" t="n">
        <v>46162</v>
      </c>
      <c r="B126" s="16" t="s">
        <v>21</v>
      </c>
      <c r="C126" s="12" t="s">
        <v>38</v>
      </c>
      <c r="D126" s="24" t="n">
        <v>3</v>
      </c>
      <c r="E126" s="24" t="s">
        <v>86</v>
      </c>
      <c r="F126" s="12" t="s">
        <v>91</v>
      </c>
      <c r="G126" s="24" t="n">
        <v>22</v>
      </c>
      <c r="H126" s="32" t="b">
        <f aca="false">OR(Planner!$E$19=$E126,Planner!$F$19=$E126)</f>
        <v>0</v>
      </c>
      <c r="I126" s="32" t="b">
        <f aca="false">FALSE()</f>
        <v>0</v>
      </c>
      <c r="J126" s="13"/>
    </row>
    <row r="127" customFormat="false" ht="23.85" hidden="false" customHeight="false" outlineLevel="0" collapsed="false">
      <c r="A127" s="10" t="n">
        <v>46162</v>
      </c>
      <c r="B127" s="16" t="s">
        <v>21</v>
      </c>
      <c r="C127" s="12" t="s">
        <v>38</v>
      </c>
      <c r="D127" s="24" t="n">
        <v>3</v>
      </c>
      <c r="E127" s="24" t="s">
        <v>86</v>
      </c>
      <c r="F127" s="12" t="s">
        <v>92</v>
      </c>
      <c r="G127" s="24" t="n">
        <v>25</v>
      </c>
      <c r="H127" s="32" t="b">
        <f aca="false">OR(Planner!$E$19=$E127,Planner!$F$19=$E127)</f>
        <v>0</v>
      </c>
      <c r="I127" s="32" t="b">
        <f aca="false">FALSE()</f>
        <v>0</v>
      </c>
      <c r="J127" s="13"/>
    </row>
    <row r="128" customFormat="false" ht="15" hidden="false" customHeight="false" outlineLevel="0" collapsed="false">
      <c r="A128" s="10" t="n">
        <v>46161</v>
      </c>
      <c r="B128" s="20" t="s">
        <v>27</v>
      </c>
      <c r="C128" s="12" t="s">
        <v>39</v>
      </c>
      <c r="D128" s="24" t="n">
        <v>1</v>
      </c>
      <c r="E128" s="31" t="s">
        <v>78</v>
      </c>
      <c r="F128" s="12" t="s">
        <v>79</v>
      </c>
      <c r="G128" s="24" t="n">
        <v>15</v>
      </c>
      <c r="H128" s="32" t="b">
        <f aca="false">TRUE()</f>
        <v>1</v>
      </c>
      <c r="I128" s="32" t="b">
        <f aca="false">FALSE()</f>
        <v>0</v>
      </c>
      <c r="J128" s="13"/>
    </row>
    <row r="129" customFormat="false" ht="15" hidden="false" customHeight="false" outlineLevel="0" collapsed="false">
      <c r="A129" s="10" t="n">
        <v>46161</v>
      </c>
      <c r="B129" s="20" t="s">
        <v>27</v>
      </c>
      <c r="C129" s="12" t="s">
        <v>39</v>
      </c>
      <c r="D129" s="24" t="n">
        <v>2</v>
      </c>
      <c r="E129" s="33" t="s">
        <v>80</v>
      </c>
      <c r="F129" s="12" t="s">
        <v>81</v>
      </c>
      <c r="G129" s="24" t="n">
        <v>60</v>
      </c>
      <c r="H129" s="32" t="b">
        <f aca="false">Planner!$D20="Yes"</f>
        <v>0</v>
      </c>
      <c r="I129" s="32" t="b">
        <f aca="false">FALSE()</f>
        <v>0</v>
      </c>
      <c r="J129" s="13"/>
    </row>
    <row r="130" customFormat="false" ht="15" hidden="false" customHeight="false" outlineLevel="0" collapsed="false">
      <c r="A130" s="10" t="n">
        <v>46161</v>
      </c>
      <c r="B130" s="20" t="s">
        <v>27</v>
      </c>
      <c r="C130" s="12" t="s">
        <v>39</v>
      </c>
      <c r="D130" s="24" t="n">
        <v>3</v>
      </c>
      <c r="E130" s="24" t="s">
        <v>82</v>
      </c>
      <c r="F130" s="12" t="s">
        <v>115</v>
      </c>
      <c r="G130" s="24" t="n">
        <v>90</v>
      </c>
      <c r="H130" s="32" t="b">
        <f aca="false">OR(Planner!$E$20=$E130,Planner!$F$20=$E130)</f>
        <v>0</v>
      </c>
      <c r="I130" s="32" t="b">
        <f aca="false">FALSE()</f>
        <v>0</v>
      </c>
      <c r="J130" s="13"/>
    </row>
    <row r="131" customFormat="false" ht="15" hidden="false" customHeight="false" outlineLevel="0" collapsed="false">
      <c r="A131" s="10" t="n">
        <v>46161</v>
      </c>
      <c r="B131" s="20" t="s">
        <v>27</v>
      </c>
      <c r="C131" s="12" t="s">
        <v>39</v>
      </c>
      <c r="D131" s="24" t="n">
        <v>3</v>
      </c>
      <c r="E131" s="24" t="s">
        <v>84</v>
      </c>
      <c r="F131" s="12" t="s">
        <v>116</v>
      </c>
      <c r="G131" s="24" t="n">
        <v>89</v>
      </c>
      <c r="H131" s="32" t="b">
        <f aca="false">OR(Planner!$E$20=$E131,Planner!$F$20=$E131)</f>
        <v>0</v>
      </c>
      <c r="I131" s="32" t="b">
        <f aca="false">FALSE()</f>
        <v>0</v>
      </c>
      <c r="J131" s="13"/>
    </row>
    <row r="132" customFormat="false" ht="15" hidden="false" customHeight="false" outlineLevel="0" collapsed="false">
      <c r="A132" s="10" t="n">
        <v>46161</v>
      </c>
      <c r="B132" s="20" t="s">
        <v>27</v>
      </c>
      <c r="C132" s="12" t="s">
        <v>39</v>
      </c>
      <c r="D132" s="24" t="n">
        <v>3</v>
      </c>
      <c r="E132" s="24" t="s">
        <v>99</v>
      </c>
      <c r="F132" s="12" t="s">
        <v>117</v>
      </c>
      <c r="G132" s="24" t="n">
        <v>15</v>
      </c>
      <c r="H132" s="32" t="b">
        <f aca="false">OR(Planner!$E$20=$E132,Planner!$F$20=$E132)</f>
        <v>0</v>
      </c>
      <c r="I132" s="32" t="b">
        <f aca="false">FALSE()</f>
        <v>0</v>
      </c>
      <c r="J132" s="13"/>
    </row>
    <row r="133" customFormat="false" ht="15" hidden="false" customHeight="false" outlineLevel="0" collapsed="false">
      <c r="A133" s="10" t="n">
        <v>46161</v>
      </c>
      <c r="B133" s="20" t="s">
        <v>27</v>
      </c>
      <c r="C133" s="12" t="s">
        <v>39</v>
      </c>
      <c r="D133" s="24" t="n">
        <v>3</v>
      </c>
      <c r="E133" s="24" t="s">
        <v>86</v>
      </c>
      <c r="F133" s="12" t="s">
        <v>118</v>
      </c>
      <c r="G133" s="24" t="n">
        <v>29</v>
      </c>
      <c r="H133" s="32" t="b">
        <f aca="false">OR(Planner!$E$20=$E133,Planner!$F$20=$E133)</f>
        <v>0</v>
      </c>
      <c r="I133" s="32" t="b">
        <f aca="false">FALSE()</f>
        <v>0</v>
      </c>
      <c r="J133" s="13"/>
    </row>
    <row r="134" customFormat="false" ht="15" hidden="false" customHeight="false" outlineLevel="0" collapsed="false">
      <c r="A134" s="10" t="n">
        <v>46161</v>
      </c>
      <c r="B134" s="20" t="s">
        <v>27</v>
      </c>
      <c r="C134" s="12" t="s">
        <v>39</v>
      </c>
      <c r="D134" s="24" t="n">
        <v>3</v>
      </c>
      <c r="E134" s="24" t="s">
        <v>86</v>
      </c>
      <c r="F134" s="12" t="s">
        <v>119</v>
      </c>
      <c r="G134" s="24" t="n">
        <v>23</v>
      </c>
      <c r="H134" s="32" t="b">
        <f aca="false">OR(Planner!$E$20=$E134,Planner!$F$20=$E134)</f>
        <v>0</v>
      </c>
      <c r="I134" s="32" t="b">
        <f aca="false">FALSE()</f>
        <v>0</v>
      </c>
      <c r="J134" s="13"/>
    </row>
    <row r="135" customFormat="false" ht="23.85" hidden="false" customHeight="false" outlineLevel="0" collapsed="false">
      <c r="A135" s="10" t="n">
        <v>46161</v>
      </c>
      <c r="B135" s="21" t="s">
        <v>29</v>
      </c>
      <c r="C135" s="12" t="s">
        <v>40</v>
      </c>
      <c r="D135" s="24" t="n">
        <v>1</v>
      </c>
      <c r="E135" s="31" t="s">
        <v>78</v>
      </c>
      <c r="F135" s="12" t="s">
        <v>79</v>
      </c>
      <c r="G135" s="24" t="n">
        <v>15</v>
      </c>
      <c r="H135" s="32" t="b">
        <f aca="false">TRUE()</f>
        <v>1</v>
      </c>
      <c r="I135" s="32" t="b">
        <f aca="false">FALSE()</f>
        <v>0</v>
      </c>
      <c r="J135" s="13"/>
    </row>
    <row r="136" customFormat="false" ht="23.85" hidden="false" customHeight="false" outlineLevel="0" collapsed="false">
      <c r="A136" s="10" t="n">
        <v>46161</v>
      </c>
      <c r="B136" s="21" t="s">
        <v>29</v>
      </c>
      <c r="C136" s="12" t="s">
        <v>40</v>
      </c>
      <c r="D136" s="24" t="n">
        <v>2</v>
      </c>
      <c r="E136" s="33" t="s">
        <v>80</v>
      </c>
      <c r="F136" s="12" t="s">
        <v>81</v>
      </c>
      <c r="G136" s="24" t="n">
        <v>60</v>
      </c>
      <c r="H136" s="32" t="b">
        <f aca="false">Planner!$D21="Yes"</f>
        <v>0</v>
      </c>
      <c r="I136" s="32" t="b">
        <f aca="false">FALSE()</f>
        <v>0</v>
      </c>
      <c r="J136" s="13"/>
    </row>
    <row r="137" customFormat="false" ht="23.85" hidden="false" customHeight="false" outlineLevel="0" collapsed="false">
      <c r="A137" s="10" t="n">
        <v>46161</v>
      </c>
      <c r="B137" s="21" t="s">
        <v>29</v>
      </c>
      <c r="C137" s="12" t="s">
        <v>40</v>
      </c>
      <c r="D137" s="24" t="n">
        <v>3</v>
      </c>
      <c r="E137" s="24" t="s">
        <v>82</v>
      </c>
      <c r="F137" s="12" t="s">
        <v>115</v>
      </c>
      <c r="G137" s="24" t="n">
        <v>90</v>
      </c>
      <c r="H137" s="32" t="b">
        <f aca="false">OR(Planner!$E$21=$E137,Planner!$F$21=$E137)</f>
        <v>0</v>
      </c>
      <c r="I137" s="32" t="b">
        <f aca="false">FALSE()</f>
        <v>0</v>
      </c>
      <c r="J137" s="13"/>
    </row>
    <row r="138" customFormat="false" ht="23.85" hidden="false" customHeight="false" outlineLevel="0" collapsed="false">
      <c r="A138" s="10" t="n">
        <v>46161</v>
      </c>
      <c r="B138" s="21" t="s">
        <v>29</v>
      </c>
      <c r="C138" s="12" t="s">
        <v>40</v>
      </c>
      <c r="D138" s="24" t="n">
        <v>3</v>
      </c>
      <c r="E138" s="24" t="s">
        <v>84</v>
      </c>
      <c r="F138" s="12" t="s">
        <v>116</v>
      </c>
      <c r="G138" s="24" t="n">
        <v>89</v>
      </c>
      <c r="H138" s="32" t="b">
        <f aca="false">OR(Planner!$E$21=$E138,Planner!$F$21=$E138)</f>
        <v>0</v>
      </c>
      <c r="I138" s="32" t="b">
        <f aca="false">FALSE()</f>
        <v>0</v>
      </c>
      <c r="J138" s="13"/>
    </row>
    <row r="139" customFormat="false" ht="23.85" hidden="false" customHeight="false" outlineLevel="0" collapsed="false">
      <c r="A139" s="10" t="n">
        <v>46161</v>
      </c>
      <c r="B139" s="21" t="s">
        <v>29</v>
      </c>
      <c r="C139" s="12" t="s">
        <v>40</v>
      </c>
      <c r="D139" s="24" t="n">
        <v>3</v>
      </c>
      <c r="E139" s="24" t="s">
        <v>95</v>
      </c>
      <c r="F139" s="12" t="s">
        <v>120</v>
      </c>
      <c r="G139" s="24" t="n">
        <v>30</v>
      </c>
      <c r="H139" s="32" t="b">
        <f aca="false">OR(Planner!$E$21=$E139,Planner!$F$21=$E139)</f>
        <v>0</v>
      </c>
      <c r="I139" s="32" t="b">
        <f aca="false">FALSE()</f>
        <v>0</v>
      </c>
      <c r="J139" s="13"/>
    </row>
    <row r="140" customFormat="false" ht="23.85" hidden="false" customHeight="false" outlineLevel="0" collapsed="false">
      <c r="A140" s="10" t="n">
        <v>46161</v>
      </c>
      <c r="B140" s="21" t="s">
        <v>29</v>
      </c>
      <c r="C140" s="12" t="s">
        <v>40</v>
      </c>
      <c r="D140" s="24" t="n">
        <v>3</v>
      </c>
      <c r="E140" s="24" t="s">
        <v>95</v>
      </c>
      <c r="F140" s="12" t="s">
        <v>121</v>
      </c>
      <c r="G140" s="24" t="n">
        <v>24</v>
      </c>
      <c r="H140" s="32" t="b">
        <f aca="false">OR(Planner!$E$21=$E140,Planner!$F$21=$E140)</f>
        <v>0</v>
      </c>
      <c r="I140" s="32" t="b">
        <f aca="false">FALSE()</f>
        <v>0</v>
      </c>
      <c r="J140" s="13"/>
    </row>
    <row r="141" customFormat="false" ht="23.85" hidden="false" customHeight="false" outlineLevel="0" collapsed="false">
      <c r="A141" s="10" t="n">
        <v>46161</v>
      </c>
      <c r="B141" s="21" t="s">
        <v>29</v>
      </c>
      <c r="C141" s="12" t="s">
        <v>40</v>
      </c>
      <c r="D141" s="24" t="n">
        <v>3</v>
      </c>
      <c r="E141" s="24" t="s">
        <v>86</v>
      </c>
      <c r="F141" s="12" t="s">
        <v>118</v>
      </c>
      <c r="G141" s="24" t="n">
        <v>29</v>
      </c>
      <c r="H141" s="32" t="b">
        <f aca="false">OR(Planner!$E$21=$E141,Planner!$F$21=$E141)</f>
        <v>0</v>
      </c>
      <c r="I141" s="32" t="b">
        <f aca="false">FALSE()</f>
        <v>0</v>
      </c>
      <c r="J141" s="13"/>
    </row>
    <row r="142" customFormat="false" ht="23.85" hidden="false" customHeight="false" outlineLevel="0" collapsed="false">
      <c r="A142" s="10" t="n">
        <v>46161</v>
      </c>
      <c r="B142" s="21" t="s">
        <v>29</v>
      </c>
      <c r="C142" s="12" t="s">
        <v>40</v>
      </c>
      <c r="D142" s="24" t="n">
        <v>3</v>
      </c>
      <c r="E142" s="24" t="s">
        <v>86</v>
      </c>
      <c r="F142" s="12" t="s">
        <v>119</v>
      </c>
      <c r="G142" s="24" t="n">
        <v>23</v>
      </c>
      <c r="H142" s="32" t="b">
        <f aca="false">OR(Planner!$E$21=$E142,Planner!$F$21=$E142)</f>
        <v>0</v>
      </c>
      <c r="I142" s="32" t="b">
        <f aca="false">FALSE()</f>
        <v>0</v>
      </c>
      <c r="J142" s="13"/>
    </row>
    <row r="143" customFormat="false" ht="23.85" hidden="false" customHeight="false" outlineLevel="0" collapsed="false">
      <c r="A143" s="10" t="n">
        <v>46161</v>
      </c>
      <c r="B143" s="21" t="s">
        <v>29</v>
      </c>
      <c r="C143" s="12" t="s">
        <v>41</v>
      </c>
      <c r="D143" s="24" t="n">
        <v>1</v>
      </c>
      <c r="E143" s="31" t="s">
        <v>78</v>
      </c>
      <c r="F143" s="12" t="s">
        <v>79</v>
      </c>
      <c r="G143" s="24" t="n">
        <v>15</v>
      </c>
      <c r="H143" s="32" t="b">
        <f aca="false">TRUE()</f>
        <v>1</v>
      </c>
      <c r="I143" s="32" t="b">
        <f aca="false">FALSE()</f>
        <v>0</v>
      </c>
      <c r="J143" s="13"/>
    </row>
    <row r="144" customFormat="false" ht="23.85" hidden="false" customHeight="false" outlineLevel="0" collapsed="false">
      <c r="A144" s="10" t="n">
        <v>46161</v>
      </c>
      <c r="B144" s="21" t="s">
        <v>29</v>
      </c>
      <c r="C144" s="12" t="s">
        <v>41</v>
      </c>
      <c r="D144" s="24" t="n">
        <v>2</v>
      </c>
      <c r="E144" s="33" t="s">
        <v>80</v>
      </c>
      <c r="F144" s="12" t="s">
        <v>81</v>
      </c>
      <c r="G144" s="24" t="n">
        <v>60</v>
      </c>
      <c r="H144" s="32" t="b">
        <f aca="false">Planner!$D22="Yes"</f>
        <v>0</v>
      </c>
      <c r="I144" s="32" t="b">
        <f aca="false">FALSE()</f>
        <v>0</v>
      </c>
      <c r="J144" s="13"/>
    </row>
    <row r="145" customFormat="false" ht="23.85" hidden="false" customHeight="false" outlineLevel="0" collapsed="false">
      <c r="A145" s="10" t="n">
        <v>46161</v>
      </c>
      <c r="B145" s="21" t="s">
        <v>29</v>
      </c>
      <c r="C145" s="12" t="s">
        <v>41</v>
      </c>
      <c r="D145" s="24" t="n">
        <v>3</v>
      </c>
      <c r="E145" s="24" t="s">
        <v>82</v>
      </c>
      <c r="F145" s="12" t="s">
        <v>115</v>
      </c>
      <c r="G145" s="24" t="n">
        <v>90</v>
      </c>
      <c r="H145" s="32" t="b">
        <f aca="false">OR(Planner!$E$22=$E145,Planner!$F$22=$E145)</f>
        <v>0</v>
      </c>
      <c r="I145" s="32" t="b">
        <f aca="false">FALSE()</f>
        <v>0</v>
      </c>
      <c r="J145" s="13"/>
    </row>
    <row r="146" customFormat="false" ht="23.85" hidden="false" customHeight="false" outlineLevel="0" collapsed="false">
      <c r="A146" s="10" t="n">
        <v>46161</v>
      </c>
      <c r="B146" s="21" t="s">
        <v>29</v>
      </c>
      <c r="C146" s="12" t="s">
        <v>41</v>
      </c>
      <c r="D146" s="24" t="n">
        <v>3</v>
      </c>
      <c r="E146" s="24" t="s">
        <v>84</v>
      </c>
      <c r="F146" s="12" t="s">
        <v>116</v>
      </c>
      <c r="G146" s="24" t="n">
        <v>89</v>
      </c>
      <c r="H146" s="32" t="b">
        <f aca="false">OR(Planner!$E$22=$E146,Planner!$F$22=$E146)</f>
        <v>0</v>
      </c>
      <c r="I146" s="32" t="b">
        <f aca="false">FALSE()</f>
        <v>0</v>
      </c>
      <c r="J146" s="13"/>
    </row>
    <row r="147" customFormat="false" ht="23.85" hidden="false" customHeight="false" outlineLevel="0" collapsed="false">
      <c r="A147" s="10" t="n">
        <v>46161</v>
      </c>
      <c r="B147" s="21" t="s">
        <v>29</v>
      </c>
      <c r="C147" s="12" t="s">
        <v>41</v>
      </c>
      <c r="D147" s="24" t="n">
        <v>3</v>
      </c>
      <c r="E147" s="24" t="s">
        <v>95</v>
      </c>
      <c r="F147" s="12" t="s">
        <v>120</v>
      </c>
      <c r="G147" s="24" t="n">
        <v>30</v>
      </c>
      <c r="H147" s="32" t="b">
        <f aca="false">OR(Planner!$E$22=$E147,Planner!$F$22=$E147)</f>
        <v>0</v>
      </c>
      <c r="I147" s="32" t="b">
        <f aca="false">FALSE()</f>
        <v>0</v>
      </c>
      <c r="J147" s="13"/>
    </row>
    <row r="148" customFormat="false" ht="23.85" hidden="false" customHeight="false" outlineLevel="0" collapsed="false">
      <c r="A148" s="10" t="n">
        <v>46161</v>
      </c>
      <c r="B148" s="21" t="s">
        <v>29</v>
      </c>
      <c r="C148" s="12" t="s">
        <v>41</v>
      </c>
      <c r="D148" s="24" t="n">
        <v>3</v>
      </c>
      <c r="E148" s="24" t="s">
        <v>95</v>
      </c>
      <c r="F148" s="12" t="s">
        <v>121</v>
      </c>
      <c r="G148" s="24" t="n">
        <v>24</v>
      </c>
      <c r="H148" s="32" t="b">
        <f aca="false">OR(Planner!$E$22=$E148,Planner!$F$22=$E148)</f>
        <v>0</v>
      </c>
      <c r="I148" s="32" t="b">
        <f aca="false">FALSE()</f>
        <v>0</v>
      </c>
      <c r="J148" s="13"/>
    </row>
    <row r="149" customFormat="false" ht="15" hidden="false" customHeight="false" outlineLevel="0" collapsed="false">
      <c r="A149" s="10" t="n">
        <v>46162</v>
      </c>
      <c r="B149" s="20" t="s">
        <v>27</v>
      </c>
      <c r="C149" s="12" t="s">
        <v>42</v>
      </c>
      <c r="D149" s="24" t="n">
        <v>1</v>
      </c>
      <c r="E149" s="31" t="s">
        <v>78</v>
      </c>
      <c r="F149" s="12" t="s">
        <v>79</v>
      </c>
      <c r="G149" s="24" t="n">
        <v>15</v>
      </c>
      <c r="H149" s="32" t="b">
        <f aca="false">TRUE()</f>
        <v>1</v>
      </c>
      <c r="I149" s="32" t="b">
        <f aca="false">FALSE()</f>
        <v>0</v>
      </c>
      <c r="J149" s="13"/>
    </row>
    <row r="150" customFormat="false" ht="15" hidden="false" customHeight="false" outlineLevel="0" collapsed="false">
      <c r="A150" s="10" t="n">
        <v>46162</v>
      </c>
      <c r="B150" s="20" t="s">
        <v>27</v>
      </c>
      <c r="C150" s="12" t="s">
        <v>42</v>
      </c>
      <c r="D150" s="24" t="n">
        <v>2</v>
      </c>
      <c r="E150" s="33" t="s">
        <v>80</v>
      </c>
      <c r="F150" s="12" t="s">
        <v>81</v>
      </c>
      <c r="G150" s="24" t="n">
        <v>60</v>
      </c>
      <c r="H150" s="32" t="b">
        <f aca="false">Planner!$D23="Yes"</f>
        <v>0</v>
      </c>
      <c r="I150" s="32" t="b">
        <f aca="false">FALSE()</f>
        <v>0</v>
      </c>
      <c r="J150" s="13"/>
    </row>
    <row r="151" customFormat="false" ht="15" hidden="false" customHeight="false" outlineLevel="0" collapsed="false">
      <c r="A151" s="10" t="n">
        <v>46162</v>
      </c>
      <c r="B151" s="20" t="s">
        <v>27</v>
      </c>
      <c r="C151" s="12" t="s">
        <v>42</v>
      </c>
      <c r="D151" s="24" t="n">
        <v>3</v>
      </c>
      <c r="E151" s="24" t="s">
        <v>82</v>
      </c>
      <c r="F151" s="12" t="s">
        <v>89</v>
      </c>
      <c r="G151" s="24" t="n">
        <v>153</v>
      </c>
      <c r="H151" s="32" t="b">
        <f aca="false">OR(Planner!$E$23=$E151,Planner!$F$23=$E151)</f>
        <v>0</v>
      </c>
      <c r="I151" s="32" t="b">
        <f aca="false">FALSE()</f>
        <v>0</v>
      </c>
      <c r="J151" s="13"/>
    </row>
    <row r="152" customFormat="false" ht="15" hidden="false" customHeight="false" outlineLevel="0" collapsed="false">
      <c r="A152" s="10" t="n">
        <v>46162</v>
      </c>
      <c r="B152" s="20" t="s">
        <v>27</v>
      </c>
      <c r="C152" s="12" t="s">
        <v>42</v>
      </c>
      <c r="D152" s="24" t="n">
        <v>3</v>
      </c>
      <c r="E152" s="24" t="s">
        <v>84</v>
      </c>
      <c r="F152" s="12" t="s">
        <v>90</v>
      </c>
      <c r="G152" s="24" t="n">
        <v>72</v>
      </c>
      <c r="H152" s="32" t="b">
        <f aca="false">OR(Planner!$E$23=$E152,Planner!$F$23=$E152)</f>
        <v>0</v>
      </c>
      <c r="I152" s="32" t="b">
        <f aca="false">FALSE()</f>
        <v>0</v>
      </c>
      <c r="J152" s="13"/>
    </row>
    <row r="153" customFormat="false" ht="15" hidden="false" customHeight="false" outlineLevel="0" collapsed="false">
      <c r="A153" s="10" t="n">
        <v>46162</v>
      </c>
      <c r="B153" s="20" t="s">
        <v>27</v>
      </c>
      <c r="C153" s="12" t="s">
        <v>42</v>
      </c>
      <c r="D153" s="24" t="n">
        <v>3</v>
      </c>
      <c r="E153" s="24" t="s">
        <v>99</v>
      </c>
      <c r="F153" s="12" t="s">
        <v>122</v>
      </c>
      <c r="G153" s="24" t="n">
        <v>13</v>
      </c>
      <c r="H153" s="32" t="b">
        <f aca="false">OR(Planner!$E$23=$E153,Planner!$F$23=$E153)</f>
        <v>0</v>
      </c>
      <c r="I153" s="32" t="b">
        <f aca="false">FALSE()</f>
        <v>0</v>
      </c>
      <c r="J153" s="13"/>
    </row>
    <row r="154" customFormat="false" ht="15" hidden="false" customHeight="false" outlineLevel="0" collapsed="false">
      <c r="A154" s="10" t="n">
        <v>46162</v>
      </c>
      <c r="B154" s="20" t="s">
        <v>27</v>
      </c>
      <c r="C154" s="12" t="s">
        <v>42</v>
      </c>
      <c r="D154" s="24" t="n">
        <v>3</v>
      </c>
      <c r="E154" s="24" t="s">
        <v>95</v>
      </c>
      <c r="F154" s="12" t="s">
        <v>123</v>
      </c>
      <c r="G154" s="24" t="n">
        <v>21</v>
      </c>
      <c r="H154" s="32" t="b">
        <f aca="false">OR(Planner!$E$23=$E154,Planner!$F$23=$E154)</f>
        <v>0</v>
      </c>
      <c r="I154" s="32" t="b">
        <f aca="false">FALSE()</f>
        <v>0</v>
      </c>
      <c r="J154" s="13"/>
    </row>
    <row r="155" customFormat="false" ht="15" hidden="false" customHeight="false" outlineLevel="0" collapsed="false">
      <c r="A155" s="10" t="n">
        <v>46162</v>
      </c>
      <c r="B155" s="20" t="s">
        <v>27</v>
      </c>
      <c r="C155" s="12" t="s">
        <v>42</v>
      </c>
      <c r="D155" s="24" t="n">
        <v>3</v>
      </c>
      <c r="E155" s="24" t="s">
        <v>86</v>
      </c>
      <c r="F155" s="12" t="s">
        <v>91</v>
      </c>
      <c r="G155" s="24" t="n">
        <v>22</v>
      </c>
      <c r="H155" s="32" t="b">
        <f aca="false">OR(Planner!$E$23=$E155,Planner!$F$23=$E155)</f>
        <v>0</v>
      </c>
      <c r="I155" s="32" t="b">
        <f aca="false">FALSE()</f>
        <v>0</v>
      </c>
      <c r="J155" s="13"/>
    </row>
    <row r="156" customFormat="false" ht="23.85" hidden="false" customHeight="false" outlineLevel="0" collapsed="false">
      <c r="A156" s="10" t="n">
        <v>46162</v>
      </c>
      <c r="B156" s="20" t="s">
        <v>27</v>
      </c>
      <c r="C156" s="12" t="s">
        <v>42</v>
      </c>
      <c r="D156" s="24" t="n">
        <v>3</v>
      </c>
      <c r="E156" s="24" t="s">
        <v>86</v>
      </c>
      <c r="F156" s="12" t="s">
        <v>92</v>
      </c>
      <c r="G156" s="24" t="n">
        <v>25</v>
      </c>
      <c r="H156" s="32" t="b">
        <f aca="false">OR(Planner!$E$23=$E156,Planner!$F$23=$E156)</f>
        <v>0</v>
      </c>
      <c r="I156" s="32" t="b">
        <f aca="false">FALSE()</f>
        <v>0</v>
      </c>
      <c r="J156" s="13"/>
    </row>
    <row r="157" customFormat="false" ht="23.85" hidden="false" customHeight="false" outlineLevel="0" collapsed="false">
      <c r="A157" s="10" t="n">
        <v>46162</v>
      </c>
      <c r="B157" s="21" t="s">
        <v>29</v>
      </c>
      <c r="C157" s="12" t="s">
        <v>43</v>
      </c>
      <c r="D157" s="24" t="n">
        <v>1</v>
      </c>
      <c r="E157" s="31" t="s">
        <v>78</v>
      </c>
      <c r="F157" s="12" t="s">
        <v>79</v>
      </c>
      <c r="G157" s="24" t="n">
        <v>15</v>
      </c>
      <c r="H157" s="32" t="b">
        <f aca="false">TRUE()</f>
        <v>1</v>
      </c>
      <c r="I157" s="32" t="b">
        <f aca="false">FALSE()</f>
        <v>0</v>
      </c>
      <c r="J157" s="13"/>
    </row>
    <row r="158" customFormat="false" ht="23.85" hidden="false" customHeight="false" outlineLevel="0" collapsed="false">
      <c r="A158" s="10" t="n">
        <v>46162</v>
      </c>
      <c r="B158" s="21" t="s">
        <v>29</v>
      </c>
      <c r="C158" s="12" t="s">
        <v>43</v>
      </c>
      <c r="D158" s="24" t="n">
        <v>2</v>
      </c>
      <c r="E158" s="33" t="s">
        <v>80</v>
      </c>
      <c r="F158" s="12" t="s">
        <v>81</v>
      </c>
      <c r="G158" s="24" t="n">
        <v>60</v>
      </c>
      <c r="H158" s="32" t="b">
        <f aca="false">Planner!$D24="Yes"</f>
        <v>0</v>
      </c>
      <c r="I158" s="32" t="b">
        <f aca="false">FALSE()</f>
        <v>0</v>
      </c>
      <c r="J158" s="13"/>
    </row>
    <row r="159" customFormat="false" ht="23.85" hidden="false" customHeight="false" outlineLevel="0" collapsed="false">
      <c r="A159" s="10" t="n">
        <v>46162</v>
      </c>
      <c r="B159" s="21" t="s">
        <v>29</v>
      </c>
      <c r="C159" s="12" t="s">
        <v>43</v>
      </c>
      <c r="D159" s="24" t="n">
        <v>3</v>
      </c>
      <c r="E159" s="24" t="s">
        <v>82</v>
      </c>
      <c r="F159" s="12" t="s">
        <v>89</v>
      </c>
      <c r="G159" s="24" t="n">
        <v>153</v>
      </c>
      <c r="H159" s="32" t="b">
        <f aca="false">OR(Planner!$E$24=$E159,Planner!$F$24=$E159)</f>
        <v>0</v>
      </c>
      <c r="I159" s="32" t="b">
        <f aca="false">FALSE()</f>
        <v>0</v>
      </c>
      <c r="J159" s="13"/>
    </row>
    <row r="160" customFormat="false" ht="23.85" hidden="false" customHeight="false" outlineLevel="0" collapsed="false">
      <c r="A160" s="10" t="n">
        <v>46162</v>
      </c>
      <c r="B160" s="21" t="s">
        <v>29</v>
      </c>
      <c r="C160" s="12" t="s">
        <v>43</v>
      </c>
      <c r="D160" s="24" t="n">
        <v>3</v>
      </c>
      <c r="E160" s="24" t="s">
        <v>84</v>
      </c>
      <c r="F160" s="12" t="s">
        <v>90</v>
      </c>
      <c r="G160" s="24" t="n">
        <v>72</v>
      </c>
      <c r="H160" s="32" t="b">
        <f aca="false">OR(Planner!$E$24=$E160,Planner!$F$24=$E160)</f>
        <v>0</v>
      </c>
      <c r="I160" s="32" t="b">
        <f aca="false">FALSE()</f>
        <v>0</v>
      </c>
      <c r="J160" s="13"/>
    </row>
    <row r="161" customFormat="false" ht="23.85" hidden="false" customHeight="false" outlineLevel="0" collapsed="false">
      <c r="A161" s="10" t="n">
        <v>46162</v>
      </c>
      <c r="B161" s="21" t="s">
        <v>29</v>
      </c>
      <c r="C161" s="12" t="s">
        <v>43</v>
      </c>
      <c r="D161" s="24" t="n">
        <v>3</v>
      </c>
      <c r="E161" s="24" t="s">
        <v>95</v>
      </c>
      <c r="F161" s="12" t="s">
        <v>123</v>
      </c>
      <c r="G161" s="24" t="n">
        <v>21</v>
      </c>
      <c r="H161" s="32" t="b">
        <f aca="false">OR(Planner!$E$24=$E161,Planner!$F$24=$E161)</f>
        <v>0</v>
      </c>
      <c r="I161" s="32" t="b">
        <f aca="false">FALSE()</f>
        <v>0</v>
      </c>
      <c r="J161" s="13"/>
    </row>
    <row r="162" customFormat="false" ht="23.85" hidden="false" customHeight="false" outlineLevel="0" collapsed="false">
      <c r="A162" s="10" t="n">
        <v>46162</v>
      </c>
      <c r="B162" s="21" t="s">
        <v>29</v>
      </c>
      <c r="C162" s="12" t="s">
        <v>43</v>
      </c>
      <c r="D162" s="24" t="n">
        <v>3</v>
      </c>
      <c r="E162" s="24" t="s">
        <v>86</v>
      </c>
      <c r="F162" s="12" t="s">
        <v>91</v>
      </c>
      <c r="G162" s="24" t="n">
        <v>22</v>
      </c>
      <c r="H162" s="32" t="b">
        <f aca="false">OR(Planner!$E$24=$E162,Planner!$F$24=$E162)</f>
        <v>0</v>
      </c>
      <c r="I162" s="32" t="b">
        <f aca="false">FALSE()</f>
        <v>0</v>
      </c>
      <c r="J162" s="13"/>
    </row>
    <row r="163" customFormat="false" ht="23.85" hidden="false" customHeight="false" outlineLevel="0" collapsed="false">
      <c r="A163" s="10" t="n">
        <v>46162</v>
      </c>
      <c r="B163" s="21" t="s">
        <v>29</v>
      </c>
      <c r="C163" s="12" t="s">
        <v>43</v>
      </c>
      <c r="D163" s="24" t="n">
        <v>3</v>
      </c>
      <c r="E163" s="24" t="s">
        <v>86</v>
      </c>
      <c r="F163" s="12" t="s">
        <v>92</v>
      </c>
      <c r="G163" s="24" t="n">
        <v>25</v>
      </c>
      <c r="H163" s="32" t="b">
        <f aca="false">OR(Planner!$E$24=$E163,Planner!$F$24=$E163)</f>
        <v>0</v>
      </c>
      <c r="I163" s="32" t="b">
        <f aca="false">FALSE()</f>
        <v>0</v>
      </c>
      <c r="J163" s="13"/>
    </row>
    <row r="164" customFormat="false" ht="15" hidden="false" customHeight="false" outlineLevel="0" collapsed="false">
      <c r="A164" s="10" t="n">
        <v>46164</v>
      </c>
      <c r="B164" s="21" t="s">
        <v>29</v>
      </c>
      <c r="C164" s="12" t="s">
        <v>44</v>
      </c>
      <c r="D164" s="24" t="n">
        <v>1</v>
      </c>
      <c r="E164" s="31" t="s">
        <v>78</v>
      </c>
      <c r="F164" s="12" t="s">
        <v>79</v>
      </c>
      <c r="G164" s="24" t="n">
        <v>15</v>
      </c>
      <c r="H164" s="32" t="b">
        <f aca="false">TRUE()</f>
        <v>1</v>
      </c>
      <c r="I164" s="32" t="b">
        <f aca="false">FALSE()</f>
        <v>0</v>
      </c>
      <c r="J164" s="13"/>
    </row>
    <row r="165" customFormat="false" ht="15" hidden="false" customHeight="false" outlineLevel="0" collapsed="false">
      <c r="A165" s="10" t="n">
        <v>46164</v>
      </c>
      <c r="B165" s="21" t="s">
        <v>29</v>
      </c>
      <c r="C165" s="12" t="s">
        <v>44</v>
      </c>
      <c r="D165" s="24" t="n">
        <v>2</v>
      </c>
      <c r="E165" s="33" t="s">
        <v>80</v>
      </c>
      <c r="F165" s="12" t="s">
        <v>81</v>
      </c>
      <c r="G165" s="24" t="n">
        <v>60</v>
      </c>
      <c r="H165" s="32" t="b">
        <f aca="false">Planner!$D25="Yes"</f>
        <v>0</v>
      </c>
      <c r="I165" s="32" t="b">
        <f aca="false">FALSE()</f>
        <v>0</v>
      </c>
      <c r="J165" s="13"/>
    </row>
    <row r="166" customFormat="false" ht="15" hidden="false" customHeight="false" outlineLevel="0" collapsed="false">
      <c r="A166" s="10" t="n">
        <v>46164</v>
      </c>
      <c r="B166" s="21" t="s">
        <v>29</v>
      </c>
      <c r="C166" s="12" t="s">
        <v>44</v>
      </c>
      <c r="D166" s="24" t="n">
        <v>3</v>
      </c>
      <c r="E166" s="24" t="s">
        <v>82</v>
      </c>
      <c r="F166" s="12" t="s">
        <v>94</v>
      </c>
      <c r="G166" s="24" t="n">
        <v>77</v>
      </c>
      <c r="H166" s="32" t="b">
        <f aca="false">OR(Planner!$E$25=$E166,Planner!$F$25=$E166)</f>
        <v>0</v>
      </c>
      <c r="I166" s="32" t="b">
        <f aca="false">FALSE()</f>
        <v>0</v>
      </c>
      <c r="J166" s="13"/>
    </row>
    <row r="167" customFormat="false" ht="15" hidden="false" customHeight="false" outlineLevel="0" collapsed="false">
      <c r="A167" s="10" t="n">
        <v>46164</v>
      </c>
      <c r="B167" s="21" t="s">
        <v>29</v>
      </c>
      <c r="C167" s="12" t="s">
        <v>44</v>
      </c>
      <c r="D167" s="24" t="n">
        <v>3</v>
      </c>
      <c r="E167" s="24" t="s">
        <v>82</v>
      </c>
      <c r="F167" s="12" t="s">
        <v>101</v>
      </c>
      <c r="G167" s="24" t="n">
        <v>113</v>
      </c>
      <c r="H167" s="32" t="b">
        <f aca="false">OR(Planner!$E$25=$E167,Planner!$F$25=$E167)</f>
        <v>0</v>
      </c>
      <c r="I167" s="32" t="b">
        <f aca="false">FALSE()</f>
        <v>0</v>
      </c>
      <c r="J167" s="13"/>
    </row>
    <row r="168" customFormat="false" ht="15" hidden="false" customHeight="false" outlineLevel="0" collapsed="false">
      <c r="A168" s="10" t="n">
        <v>46164</v>
      </c>
      <c r="B168" s="21" t="s">
        <v>29</v>
      </c>
      <c r="C168" s="12" t="s">
        <v>44</v>
      </c>
      <c r="D168" s="24" t="n">
        <v>3</v>
      </c>
      <c r="E168" s="24" t="s">
        <v>84</v>
      </c>
      <c r="F168" s="12" t="s">
        <v>102</v>
      </c>
      <c r="G168" s="24" t="n">
        <v>78</v>
      </c>
      <c r="H168" s="32" t="b">
        <f aca="false">OR(Planner!$E$25=$E168,Planner!$F$25=$E168)</f>
        <v>0</v>
      </c>
      <c r="I168" s="32" t="b">
        <f aca="false">FALSE()</f>
        <v>0</v>
      </c>
      <c r="J168" s="13"/>
    </row>
    <row r="169" customFormat="false" ht="23.85" hidden="false" customHeight="false" outlineLevel="0" collapsed="false">
      <c r="A169" s="10" t="n">
        <v>46169</v>
      </c>
      <c r="B169" s="16" t="s">
        <v>21</v>
      </c>
      <c r="C169" s="12" t="s">
        <v>45</v>
      </c>
      <c r="D169" s="24" t="n">
        <v>1</v>
      </c>
      <c r="E169" s="31" t="s">
        <v>78</v>
      </c>
      <c r="F169" s="12" t="s">
        <v>79</v>
      </c>
      <c r="G169" s="24" t="n">
        <v>15</v>
      </c>
      <c r="H169" s="32" t="b">
        <f aca="false">TRUE()</f>
        <v>1</v>
      </c>
      <c r="I169" s="32" t="b">
        <f aca="false">FALSE()</f>
        <v>0</v>
      </c>
      <c r="J169" s="13"/>
    </row>
    <row r="170" customFormat="false" ht="23.85" hidden="false" customHeight="false" outlineLevel="0" collapsed="false">
      <c r="A170" s="10" t="n">
        <v>46169</v>
      </c>
      <c r="B170" s="16" t="s">
        <v>21</v>
      </c>
      <c r="C170" s="12" t="s">
        <v>45</v>
      </c>
      <c r="D170" s="24" t="n">
        <v>2</v>
      </c>
      <c r="E170" s="33" t="s">
        <v>80</v>
      </c>
      <c r="F170" s="12" t="s">
        <v>81</v>
      </c>
      <c r="G170" s="24" t="n">
        <v>60</v>
      </c>
      <c r="H170" s="32" t="b">
        <f aca="false">Planner!$D26="Yes"</f>
        <v>0</v>
      </c>
      <c r="I170" s="32" t="b">
        <f aca="false">FALSE()</f>
        <v>0</v>
      </c>
      <c r="J170" s="13"/>
    </row>
    <row r="171" customFormat="false" ht="23.85" hidden="false" customHeight="false" outlineLevel="0" collapsed="false">
      <c r="A171" s="10" t="n">
        <v>46169</v>
      </c>
      <c r="B171" s="16" t="s">
        <v>21</v>
      </c>
      <c r="C171" s="12" t="s">
        <v>45</v>
      </c>
      <c r="D171" s="24" t="n">
        <v>3</v>
      </c>
      <c r="E171" s="24" t="s">
        <v>82</v>
      </c>
      <c r="F171" s="12" t="s">
        <v>89</v>
      </c>
      <c r="G171" s="24" t="n">
        <v>153</v>
      </c>
      <c r="H171" s="32" t="b">
        <f aca="false">OR(Planner!$E$26=$E171,Planner!$F$26=$E171)</f>
        <v>0</v>
      </c>
      <c r="I171" s="32" t="b">
        <f aca="false">FALSE()</f>
        <v>0</v>
      </c>
      <c r="J171" s="13"/>
    </row>
    <row r="172" customFormat="false" ht="23.85" hidden="false" customHeight="false" outlineLevel="0" collapsed="false">
      <c r="A172" s="10" t="n">
        <v>46169</v>
      </c>
      <c r="B172" s="16" t="s">
        <v>21</v>
      </c>
      <c r="C172" s="12" t="s">
        <v>45</v>
      </c>
      <c r="D172" s="24" t="n">
        <v>3</v>
      </c>
      <c r="E172" s="24" t="s">
        <v>84</v>
      </c>
      <c r="F172" s="12" t="s">
        <v>90</v>
      </c>
      <c r="G172" s="24" t="n">
        <v>72</v>
      </c>
      <c r="H172" s="32" t="b">
        <f aca="false">OR(Planner!$E$26=$E172,Planner!$F$26=$E172)</f>
        <v>0</v>
      </c>
      <c r="I172" s="32" t="b">
        <f aca="false">FALSE()</f>
        <v>0</v>
      </c>
      <c r="J172" s="13"/>
    </row>
    <row r="173" customFormat="false" ht="15" hidden="false" customHeight="false" outlineLevel="0" collapsed="false">
      <c r="A173" s="10" t="n">
        <v>46170</v>
      </c>
      <c r="B173" s="20" t="s">
        <v>27</v>
      </c>
      <c r="C173" s="12" t="s">
        <v>46</v>
      </c>
      <c r="D173" s="24" t="n">
        <v>1</v>
      </c>
      <c r="E173" s="31" t="s">
        <v>78</v>
      </c>
      <c r="F173" s="12" t="s">
        <v>79</v>
      </c>
      <c r="G173" s="24" t="n">
        <v>15</v>
      </c>
      <c r="H173" s="32" t="b">
        <f aca="false">TRUE()</f>
        <v>1</v>
      </c>
      <c r="I173" s="32" t="b">
        <f aca="false">FALSE()</f>
        <v>0</v>
      </c>
      <c r="J173" s="13"/>
    </row>
    <row r="174" customFormat="false" ht="15" hidden="false" customHeight="false" outlineLevel="0" collapsed="false">
      <c r="A174" s="10" t="n">
        <v>46170</v>
      </c>
      <c r="B174" s="20" t="s">
        <v>27</v>
      </c>
      <c r="C174" s="12" t="s">
        <v>46</v>
      </c>
      <c r="D174" s="24" t="n">
        <v>2</v>
      </c>
      <c r="E174" s="33" t="s">
        <v>80</v>
      </c>
      <c r="F174" s="12" t="s">
        <v>81</v>
      </c>
      <c r="G174" s="24" t="n">
        <v>60</v>
      </c>
      <c r="H174" s="32" t="b">
        <f aca="false">Planner!$D27="Yes"</f>
        <v>0</v>
      </c>
      <c r="I174" s="32" t="b">
        <f aca="false">FALSE()</f>
        <v>0</v>
      </c>
      <c r="J174" s="13"/>
    </row>
    <row r="175" customFormat="false" ht="15" hidden="false" customHeight="false" outlineLevel="0" collapsed="false">
      <c r="A175" s="10" t="n">
        <v>46170</v>
      </c>
      <c r="B175" s="20" t="s">
        <v>27</v>
      </c>
      <c r="C175" s="12" t="s">
        <v>46</v>
      </c>
      <c r="D175" s="24" t="n">
        <v>3</v>
      </c>
      <c r="E175" s="24" t="s">
        <v>82</v>
      </c>
      <c r="F175" s="12" t="s">
        <v>115</v>
      </c>
      <c r="G175" s="24" t="n">
        <v>90</v>
      </c>
      <c r="H175" s="32" t="b">
        <f aca="false">OR(Planner!$E$27=$E175,Planner!$F$27=$E175)</f>
        <v>0</v>
      </c>
      <c r="I175" s="32" t="b">
        <f aca="false">FALSE()</f>
        <v>0</v>
      </c>
      <c r="J175" s="13"/>
    </row>
    <row r="176" customFormat="false" ht="15" hidden="false" customHeight="false" outlineLevel="0" collapsed="false">
      <c r="A176" s="10" t="n">
        <v>46170</v>
      </c>
      <c r="B176" s="20" t="s">
        <v>27</v>
      </c>
      <c r="C176" s="12" t="s">
        <v>46</v>
      </c>
      <c r="D176" s="24" t="n">
        <v>3</v>
      </c>
      <c r="E176" s="24" t="s">
        <v>99</v>
      </c>
      <c r="F176" s="12" t="s">
        <v>124</v>
      </c>
      <c r="G176" s="24" t="n">
        <v>12</v>
      </c>
      <c r="H176" s="32" t="b">
        <f aca="false">OR(Planner!$E$27=$E176,Planner!$F$27=$E176)</f>
        <v>0</v>
      </c>
      <c r="I176" s="32" t="b">
        <f aca="false">FALSE()</f>
        <v>0</v>
      </c>
      <c r="J176" s="13"/>
    </row>
    <row r="177" customFormat="false" ht="15" hidden="false" customHeight="false" outlineLevel="0" collapsed="false">
      <c r="A177" s="10" t="n">
        <v>46170</v>
      </c>
      <c r="B177" s="20" t="s">
        <v>27</v>
      </c>
      <c r="C177" s="12" t="s">
        <v>46</v>
      </c>
      <c r="D177" s="24" t="n">
        <v>3</v>
      </c>
      <c r="E177" s="24" t="s">
        <v>86</v>
      </c>
      <c r="F177" s="12" t="s">
        <v>118</v>
      </c>
      <c r="G177" s="24" t="n">
        <v>29</v>
      </c>
      <c r="H177" s="32" t="b">
        <f aca="false">OR(Planner!$E$27=$E177,Planner!$F$27=$E177)</f>
        <v>0</v>
      </c>
      <c r="I177" s="32" t="b">
        <f aca="false">FALSE()</f>
        <v>0</v>
      </c>
      <c r="J177" s="13"/>
    </row>
    <row r="178" customFormat="false" ht="15" hidden="false" customHeight="false" outlineLevel="0" collapsed="false">
      <c r="A178" s="10" t="n">
        <v>46170</v>
      </c>
      <c r="B178" s="20" t="s">
        <v>27</v>
      </c>
      <c r="C178" s="12" t="s">
        <v>46</v>
      </c>
      <c r="D178" s="24" t="n">
        <v>3</v>
      </c>
      <c r="E178" s="24" t="s">
        <v>86</v>
      </c>
      <c r="F178" s="12" t="s">
        <v>119</v>
      </c>
      <c r="G178" s="24" t="n">
        <v>23</v>
      </c>
      <c r="H178" s="32" t="b">
        <f aca="false">OR(Planner!$E$27=$E178,Planner!$F$27=$E178)</f>
        <v>0</v>
      </c>
      <c r="I178" s="32" t="b">
        <f aca="false">FALSE()</f>
        <v>0</v>
      </c>
      <c r="J178" s="13"/>
    </row>
    <row r="179" customFormat="false" ht="15" hidden="false" customHeight="false" outlineLevel="0" collapsed="false">
      <c r="A179" s="10" t="n">
        <v>46170</v>
      </c>
      <c r="B179" s="20" t="s">
        <v>27</v>
      </c>
      <c r="C179" s="12" t="s">
        <v>46</v>
      </c>
      <c r="D179" s="24" t="n">
        <v>3</v>
      </c>
      <c r="E179" s="24" t="s">
        <v>86</v>
      </c>
      <c r="F179" s="12" t="s">
        <v>103</v>
      </c>
      <c r="G179" s="24" t="n">
        <v>21</v>
      </c>
      <c r="H179" s="32" t="b">
        <f aca="false">OR(Planner!$E$27=$E179,Planner!$F$27=$E179)</f>
        <v>0</v>
      </c>
      <c r="I179" s="32" t="b">
        <f aca="false">FALSE()</f>
        <v>0</v>
      </c>
      <c r="J179" s="13"/>
    </row>
    <row r="180" customFormat="false" ht="15" hidden="false" customHeight="false" outlineLevel="0" collapsed="false">
      <c r="A180" s="10" t="n">
        <v>46170</v>
      </c>
      <c r="B180" s="20" t="s">
        <v>27</v>
      </c>
      <c r="C180" s="12" t="s">
        <v>46</v>
      </c>
      <c r="D180" s="24" t="n">
        <v>3</v>
      </c>
      <c r="E180" s="24" t="s">
        <v>86</v>
      </c>
      <c r="F180" s="12" t="s">
        <v>104</v>
      </c>
      <c r="G180" s="24" t="n">
        <v>19</v>
      </c>
      <c r="H180" s="32" t="b">
        <f aca="false">OR(Planner!$E$27=$E180,Planner!$F$27=$E180)</f>
        <v>0</v>
      </c>
      <c r="I180" s="32" t="b">
        <f aca="false">FALSE()</f>
        <v>0</v>
      </c>
      <c r="J180" s="13"/>
    </row>
    <row r="181" customFormat="false" ht="15" hidden="false" customHeight="false" outlineLevel="0" collapsed="false">
      <c r="A181" s="10" t="n">
        <v>46170</v>
      </c>
      <c r="B181" s="20" t="s">
        <v>27</v>
      </c>
      <c r="C181" s="12" t="s">
        <v>46</v>
      </c>
      <c r="D181" s="24" t="n">
        <v>3</v>
      </c>
      <c r="E181" s="24" t="s">
        <v>86</v>
      </c>
      <c r="F181" s="12" t="s">
        <v>113</v>
      </c>
      <c r="G181" s="24" t="n">
        <v>29</v>
      </c>
      <c r="H181" s="32" t="b">
        <f aca="false">OR(Planner!$E$27=$E181,Planner!$F$27=$E181)</f>
        <v>0</v>
      </c>
      <c r="I181" s="32" t="b">
        <f aca="false">FALSE()</f>
        <v>0</v>
      </c>
      <c r="J181" s="13"/>
    </row>
    <row r="182" customFormat="false" ht="15" hidden="false" customHeight="false" outlineLevel="0" collapsed="false">
      <c r="A182" s="10" t="n">
        <v>46170</v>
      </c>
      <c r="B182" s="21" t="s">
        <v>29</v>
      </c>
      <c r="C182" s="12" t="s">
        <v>47</v>
      </c>
      <c r="D182" s="24" t="n">
        <v>1</v>
      </c>
      <c r="E182" s="31" t="s">
        <v>78</v>
      </c>
      <c r="F182" s="12" t="s">
        <v>79</v>
      </c>
      <c r="G182" s="24" t="n">
        <v>15</v>
      </c>
      <c r="H182" s="32" t="b">
        <f aca="false">TRUE()</f>
        <v>1</v>
      </c>
      <c r="I182" s="32" t="b">
        <f aca="false">FALSE()</f>
        <v>0</v>
      </c>
      <c r="J182" s="13"/>
    </row>
    <row r="183" customFormat="false" ht="15" hidden="false" customHeight="false" outlineLevel="0" collapsed="false">
      <c r="A183" s="10" t="n">
        <v>46170</v>
      </c>
      <c r="B183" s="21" t="s">
        <v>29</v>
      </c>
      <c r="C183" s="12" t="s">
        <v>47</v>
      </c>
      <c r="D183" s="24" t="n">
        <v>2</v>
      </c>
      <c r="E183" s="33" t="s">
        <v>80</v>
      </c>
      <c r="F183" s="12" t="s">
        <v>81</v>
      </c>
      <c r="G183" s="24" t="n">
        <v>60</v>
      </c>
      <c r="H183" s="32" t="b">
        <f aca="false">Planner!$D28="Yes"</f>
        <v>0</v>
      </c>
      <c r="I183" s="32" t="b">
        <f aca="false">FALSE()</f>
        <v>0</v>
      </c>
      <c r="J183" s="13"/>
    </row>
    <row r="184" customFormat="false" ht="15" hidden="false" customHeight="false" outlineLevel="0" collapsed="false">
      <c r="A184" s="10" t="n">
        <v>46170</v>
      </c>
      <c r="B184" s="21" t="s">
        <v>29</v>
      </c>
      <c r="C184" s="12" t="s">
        <v>47</v>
      </c>
      <c r="D184" s="24" t="n">
        <v>3</v>
      </c>
      <c r="E184" s="24" t="s">
        <v>82</v>
      </c>
      <c r="F184" s="12" t="s">
        <v>115</v>
      </c>
      <c r="G184" s="24" t="n">
        <v>90</v>
      </c>
      <c r="H184" s="32" t="b">
        <f aca="false">OR(Planner!$E$28=$E184,Planner!$F$28=$E184)</f>
        <v>0</v>
      </c>
      <c r="I184" s="32" t="b">
        <f aca="false">FALSE()</f>
        <v>0</v>
      </c>
      <c r="J184" s="13"/>
    </row>
    <row r="185" customFormat="false" ht="15" hidden="false" customHeight="false" outlineLevel="0" collapsed="false">
      <c r="A185" s="10" t="n">
        <v>46170</v>
      </c>
      <c r="B185" s="21" t="s">
        <v>29</v>
      </c>
      <c r="C185" s="12" t="s">
        <v>47</v>
      </c>
      <c r="D185" s="24" t="n">
        <v>3</v>
      </c>
      <c r="E185" s="24" t="s">
        <v>84</v>
      </c>
      <c r="F185" s="12" t="s">
        <v>116</v>
      </c>
      <c r="G185" s="24" t="n">
        <v>89</v>
      </c>
      <c r="H185" s="32" t="b">
        <f aca="false">OR(Planner!$E$28=$E185,Planner!$F$28=$E185)</f>
        <v>0</v>
      </c>
      <c r="I185" s="32" t="b">
        <f aca="false">FALSE()</f>
        <v>0</v>
      </c>
      <c r="J185" s="13"/>
    </row>
    <row r="186" customFormat="false" ht="15" hidden="false" customHeight="false" outlineLevel="0" collapsed="false">
      <c r="A186" s="10" t="n">
        <v>46170</v>
      </c>
      <c r="B186" s="21" t="s">
        <v>29</v>
      </c>
      <c r="C186" s="12" t="s">
        <v>47</v>
      </c>
      <c r="D186" s="24" t="n">
        <v>3</v>
      </c>
      <c r="E186" s="24" t="s">
        <v>95</v>
      </c>
      <c r="F186" s="12" t="s">
        <v>120</v>
      </c>
      <c r="G186" s="24" t="n">
        <v>30</v>
      </c>
      <c r="H186" s="32" t="b">
        <f aca="false">OR(Planner!$E$28=$E186,Planner!$F$28=$E186)</f>
        <v>0</v>
      </c>
      <c r="I186" s="32" t="b">
        <f aca="false">FALSE()</f>
        <v>0</v>
      </c>
      <c r="J186" s="13"/>
    </row>
    <row r="187" customFormat="false" ht="23.85" hidden="false" customHeight="false" outlineLevel="0" collapsed="false">
      <c r="A187" s="10" t="n">
        <v>46170</v>
      </c>
      <c r="B187" s="21" t="s">
        <v>29</v>
      </c>
      <c r="C187" s="12" t="s">
        <v>47</v>
      </c>
      <c r="D187" s="24" t="n">
        <v>3</v>
      </c>
      <c r="E187" s="24" t="s">
        <v>95</v>
      </c>
      <c r="F187" s="12" t="s">
        <v>121</v>
      </c>
      <c r="G187" s="24" t="n">
        <v>24</v>
      </c>
      <c r="H187" s="32" t="b">
        <f aca="false">OR(Planner!$E$28=$E187,Planner!$F$28=$E187)</f>
        <v>0</v>
      </c>
      <c r="I187" s="32" t="b">
        <f aca="false">FALSE()</f>
        <v>0</v>
      </c>
      <c r="J187" s="13"/>
    </row>
    <row r="188" customFormat="false" ht="15" hidden="false" customHeight="false" outlineLevel="0" collapsed="false">
      <c r="A188" s="10" t="n">
        <v>46171</v>
      </c>
      <c r="B188" s="21" t="s">
        <v>29</v>
      </c>
      <c r="C188" s="12" t="s">
        <v>48</v>
      </c>
      <c r="D188" s="24" t="n">
        <v>1</v>
      </c>
      <c r="E188" s="31" t="s">
        <v>78</v>
      </c>
      <c r="F188" s="12" t="s">
        <v>79</v>
      </c>
      <c r="G188" s="24" t="n">
        <v>15</v>
      </c>
      <c r="H188" s="32" t="b">
        <f aca="false">TRUE()</f>
        <v>1</v>
      </c>
      <c r="I188" s="32" t="b">
        <f aca="false">FALSE()</f>
        <v>0</v>
      </c>
      <c r="J188" s="13"/>
    </row>
    <row r="189" customFormat="false" ht="15" hidden="false" customHeight="false" outlineLevel="0" collapsed="false">
      <c r="A189" s="10" t="n">
        <v>46171</v>
      </c>
      <c r="B189" s="21" t="s">
        <v>29</v>
      </c>
      <c r="C189" s="12" t="s">
        <v>48</v>
      </c>
      <c r="D189" s="24" t="n">
        <v>2</v>
      </c>
      <c r="E189" s="33" t="s">
        <v>80</v>
      </c>
      <c r="F189" s="12" t="s">
        <v>81</v>
      </c>
      <c r="G189" s="24" t="n">
        <v>60</v>
      </c>
      <c r="H189" s="32" t="b">
        <f aca="false">Planner!$D29="Yes"</f>
        <v>0</v>
      </c>
      <c r="I189" s="32" t="b">
        <f aca="false">FALSE()</f>
        <v>0</v>
      </c>
      <c r="J189" s="13"/>
    </row>
    <row r="190" customFormat="false" ht="15" hidden="false" customHeight="false" outlineLevel="0" collapsed="false">
      <c r="A190" s="10" t="n">
        <v>46171</v>
      </c>
      <c r="B190" s="21" t="s">
        <v>29</v>
      </c>
      <c r="C190" s="12" t="s">
        <v>48</v>
      </c>
      <c r="D190" s="24" t="n">
        <v>3</v>
      </c>
      <c r="E190" s="24" t="s">
        <v>82</v>
      </c>
      <c r="F190" s="12" t="s">
        <v>101</v>
      </c>
      <c r="G190" s="24" t="n">
        <v>113</v>
      </c>
      <c r="H190" s="32" t="b">
        <f aca="false">OR(Planner!$E$29=$E190,Planner!$F$29=$E190)</f>
        <v>0</v>
      </c>
      <c r="I190" s="32" t="b">
        <f aca="false">FALSE()</f>
        <v>0</v>
      </c>
      <c r="J190" s="13"/>
    </row>
    <row r="191" customFormat="false" ht="15" hidden="false" customHeight="false" outlineLevel="0" collapsed="false">
      <c r="A191" s="10" t="n">
        <v>46171</v>
      </c>
      <c r="B191" s="21" t="s">
        <v>29</v>
      </c>
      <c r="C191" s="12" t="s">
        <v>48</v>
      </c>
      <c r="D191" s="24" t="n">
        <v>3</v>
      </c>
      <c r="E191" s="24" t="s">
        <v>84</v>
      </c>
      <c r="F191" s="12" t="s">
        <v>102</v>
      </c>
      <c r="G191" s="24" t="n">
        <v>78</v>
      </c>
      <c r="H191" s="32" t="b">
        <f aca="false">OR(Planner!$E$29=$E191,Planner!$F$29=$E191)</f>
        <v>0</v>
      </c>
      <c r="I191" s="32" t="b">
        <f aca="false">FALSE()</f>
        <v>0</v>
      </c>
      <c r="J191" s="13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126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27.75" hidden="false" customHeight="true" outlineLevel="0" collapsed="false">
      <c r="A4" s="9" t="s">
        <v>127</v>
      </c>
      <c r="B4" s="9" t="s">
        <v>11</v>
      </c>
      <c r="C4" s="9" t="s">
        <v>12</v>
      </c>
      <c r="D4" s="9" t="s">
        <v>13</v>
      </c>
      <c r="E4" s="9" t="s">
        <v>128</v>
      </c>
      <c r="F4" s="9" t="s">
        <v>129</v>
      </c>
      <c r="G4" s="9" t="s">
        <v>130</v>
      </c>
      <c r="H4" s="9" t="s">
        <v>131</v>
      </c>
      <c r="I4" s="9" t="s">
        <v>55</v>
      </c>
    </row>
    <row r="5" customFormat="false" ht="15" hidden="false" customHeight="false" outlineLevel="0" collapsed="false">
      <c r="A5" s="24" t="s">
        <v>132</v>
      </c>
      <c r="B5" s="10" t="n">
        <v>46132</v>
      </c>
      <c r="C5" s="11" t="s">
        <v>19</v>
      </c>
      <c r="D5" s="12" t="s">
        <v>20</v>
      </c>
      <c r="E5" s="24" t="n">
        <v>42</v>
      </c>
      <c r="F5" s="24" t="n">
        <v>0</v>
      </c>
      <c r="G5" s="25" t="n">
        <f aca="false">IFERROR(F5/E5,0)</f>
        <v>0</v>
      </c>
      <c r="H5" s="24"/>
      <c r="I5" s="13"/>
    </row>
    <row r="6" customFormat="false" ht="15" hidden="false" customHeight="false" outlineLevel="0" collapsed="false">
      <c r="A6" s="28" t="s">
        <v>133</v>
      </c>
      <c r="B6" s="15" t="n">
        <v>46132</v>
      </c>
      <c r="C6" s="16" t="s">
        <v>21</v>
      </c>
      <c r="D6" s="17" t="s">
        <v>22</v>
      </c>
      <c r="E6" s="28" t="n">
        <v>4</v>
      </c>
      <c r="F6" s="28" t="n">
        <v>0</v>
      </c>
      <c r="G6" s="29" t="n">
        <f aca="false">IFERROR(F6/E6,0)</f>
        <v>0</v>
      </c>
      <c r="H6" s="28"/>
      <c r="I6" s="18"/>
    </row>
    <row r="7" customFormat="false" ht="15" hidden="false" customHeight="false" outlineLevel="0" collapsed="false">
      <c r="A7" s="24" t="s">
        <v>134</v>
      </c>
      <c r="B7" s="10" t="n">
        <v>46135</v>
      </c>
      <c r="C7" s="11" t="s">
        <v>19</v>
      </c>
      <c r="D7" s="12" t="s">
        <v>23</v>
      </c>
      <c r="E7" s="24" t="n">
        <v>11</v>
      </c>
      <c r="F7" s="24" t="n">
        <v>0</v>
      </c>
      <c r="G7" s="25" t="n">
        <f aca="false">IFERROR(F7/E7,0)</f>
        <v>0</v>
      </c>
      <c r="H7" s="24"/>
      <c r="I7" s="13"/>
    </row>
    <row r="8" customFormat="false" ht="15" hidden="false" customHeight="false" outlineLevel="0" collapsed="false">
      <c r="A8" s="28" t="s">
        <v>135</v>
      </c>
      <c r="B8" s="15" t="n">
        <v>46135</v>
      </c>
      <c r="C8" s="11" t="s">
        <v>19</v>
      </c>
      <c r="D8" s="17" t="s">
        <v>24</v>
      </c>
      <c r="E8" s="28" t="n">
        <v>14</v>
      </c>
      <c r="F8" s="28" t="n">
        <v>0</v>
      </c>
      <c r="G8" s="29" t="n">
        <f aca="false">IFERROR(F8/E8,0)</f>
        <v>0</v>
      </c>
      <c r="H8" s="28"/>
      <c r="I8" s="18"/>
    </row>
    <row r="9" customFormat="false" ht="15" hidden="false" customHeight="false" outlineLevel="0" collapsed="false">
      <c r="A9" s="24" t="s">
        <v>136</v>
      </c>
      <c r="B9" s="10" t="n">
        <v>46134</v>
      </c>
      <c r="C9" s="16" t="s">
        <v>21</v>
      </c>
      <c r="D9" s="12" t="s">
        <v>25</v>
      </c>
      <c r="E9" s="24" t="n">
        <v>4</v>
      </c>
      <c r="F9" s="24" t="n">
        <v>0</v>
      </c>
      <c r="G9" s="25" t="n">
        <f aca="false">IFERROR(F9/E9,0)</f>
        <v>0</v>
      </c>
      <c r="H9" s="24"/>
      <c r="I9" s="13"/>
    </row>
    <row r="10" customFormat="false" ht="15" hidden="false" customHeight="false" outlineLevel="0" collapsed="false">
      <c r="A10" s="28" t="s">
        <v>137</v>
      </c>
      <c r="B10" s="15" t="n">
        <v>46140</v>
      </c>
      <c r="C10" s="11" t="s">
        <v>19</v>
      </c>
      <c r="D10" s="17" t="s">
        <v>26</v>
      </c>
      <c r="E10" s="28" t="n">
        <v>5</v>
      </c>
      <c r="F10" s="28" t="n">
        <v>0</v>
      </c>
      <c r="G10" s="29" t="n">
        <f aca="false">IFERROR(F10/E10,0)</f>
        <v>0</v>
      </c>
      <c r="H10" s="28"/>
      <c r="I10" s="18"/>
    </row>
    <row r="11" customFormat="false" ht="15" hidden="false" customHeight="false" outlineLevel="0" collapsed="false">
      <c r="A11" s="24" t="s">
        <v>138</v>
      </c>
      <c r="B11" s="10" t="n">
        <v>46141</v>
      </c>
      <c r="C11" s="20" t="s">
        <v>27</v>
      </c>
      <c r="D11" s="12" t="s">
        <v>28</v>
      </c>
      <c r="E11" s="24" t="n">
        <v>17</v>
      </c>
      <c r="F11" s="24" t="n">
        <v>0</v>
      </c>
      <c r="G11" s="25" t="n">
        <f aca="false">IFERROR(F11/E11,0)</f>
        <v>0</v>
      </c>
      <c r="H11" s="24"/>
      <c r="I11" s="13"/>
    </row>
    <row r="12" customFormat="false" ht="15" hidden="false" customHeight="false" outlineLevel="0" collapsed="false">
      <c r="A12" s="28" t="s">
        <v>139</v>
      </c>
      <c r="B12" s="15" t="n">
        <v>46156</v>
      </c>
      <c r="C12" s="21" t="s">
        <v>29</v>
      </c>
      <c r="D12" s="17" t="s">
        <v>30</v>
      </c>
      <c r="E12" s="28" t="n">
        <v>17</v>
      </c>
      <c r="F12" s="28" t="n">
        <v>0</v>
      </c>
      <c r="G12" s="29" t="n">
        <f aca="false">IFERROR(F12/E12,0)</f>
        <v>0</v>
      </c>
      <c r="H12" s="28"/>
      <c r="I12" s="18"/>
    </row>
    <row r="13" customFormat="false" ht="15" hidden="false" customHeight="false" outlineLevel="0" collapsed="false">
      <c r="A13" s="24" t="s">
        <v>140</v>
      </c>
      <c r="B13" s="10" t="n">
        <v>46157</v>
      </c>
      <c r="C13" s="16" t="s">
        <v>21</v>
      </c>
      <c r="D13" s="12" t="s">
        <v>31</v>
      </c>
      <c r="E13" s="24" t="n">
        <v>2</v>
      </c>
      <c r="F13" s="24" t="n">
        <v>0</v>
      </c>
      <c r="G13" s="25" t="n">
        <f aca="false">IFERROR(F13/E13,0)</f>
        <v>0</v>
      </c>
      <c r="H13" s="24"/>
      <c r="I13" s="13"/>
    </row>
    <row r="14" customFormat="false" ht="15" hidden="false" customHeight="false" outlineLevel="0" collapsed="false">
      <c r="A14" s="28" t="s">
        <v>141</v>
      </c>
      <c r="B14" s="15" t="n">
        <v>46154</v>
      </c>
      <c r="C14" s="11" t="s">
        <v>19</v>
      </c>
      <c r="D14" s="17" t="s">
        <v>32</v>
      </c>
      <c r="E14" s="28" t="n">
        <v>1</v>
      </c>
      <c r="F14" s="28" t="n">
        <v>0</v>
      </c>
      <c r="G14" s="29" t="n">
        <f aca="false">IFERROR(F14/E14,0)</f>
        <v>0</v>
      </c>
      <c r="H14" s="28"/>
      <c r="I14" s="18"/>
    </row>
    <row r="15" customFormat="false" ht="15" hidden="false" customHeight="false" outlineLevel="0" collapsed="false">
      <c r="A15" s="24" t="s">
        <v>142</v>
      </c>
      <c r="B15" s="10" t="n">
        <v>46154</v>
      </c>
      <c r="C15" s="22" t="s">
        <v>33</v>
      </c>
      <c r="D15" s="12" t="s">
        <v>34</v>
      </c>
      <c r="E15" s="24" t="n">
        <v>14</v>
      </c>
      <c r="F15" s="24" t="n">
        <v>0</v>
      </c>
      <c r="G15" s="25" t="n">
        <f aca="false">IFERROR(F15/E15,0)</f>
        <v>0</v>
      </c>
      <c r="H15" s="24"/>
      <c r="I15" s="13"/>
    </row>
    <row r="16" customFormat="false" ht="15" hidden="false" customHeight="false" outlineLevel="0" collapsed="false">
      <c r="A16" s="28" t="s">
        <v>143</v>
      </c>
      <c r="B16" s="15" t="n">
        <v>46154</v>
      </c>
      <c r="C16" s="16" t="s">
        <v>21</v>
      </c>
      <c r="D16" s="17" t="s">
        <v>35</v>
      </c>
      <c r="E16" s="28" t="n">
        <v>0</v>
      </c>
      <c r="F16" s="28" t="n">
        <v>0</v>
      </c>
      <c r="G16" s="29" t="n">
        <f aca="false">IFERROR(F16/E16,0)</f>
        <v>0</v>
      </c>
      <c r="H16" s="28"/>
      <c r="I16" s="18"/>
    </row>
    <row r="17" customFormat="false" ht="15" hidden="false" customHeight="false" outlineLevel="0" collapsed="false">
      <c r="A17" s="24" t="s">
        <v>144</v>
      </c>
      <c r="B17" s="10" t="n">
        <v>46155</v>
      </c>
      <c r="C17" s="20" t="s">
        <v>27</v>
      </c>
      <c r="D17" s="12" t="s">
        <v>36</v>
      </c>
      <c r="E17" s="24" t="n">
        <v>47</v>
      </c>
      <c r="F17" s="24" t="n">
        <v>0</v>
      </c>
      <c r="G17" s="25" t="n">
        <f aca="false">IFERROR(F17/E17,0)</f>
        <v>0</v>
      </c>
      <c r="H17" s="24"/>
      <c r="I17" s="13"/>
    </row>
    <row r="18" customFormat="false" ht="15" hidden="false" customHeight="false" outlineLevel="0" collapsed="false">
      <c r="A18" s="28" t="s">
        <v>145</v>
      </c>
      <c r="B18" s="15" t="n">
        <v>46156</v>
      </c>
      <c r="C18" s="21" t="s">
        <v>29</v>
      </c>
      <c r="D18" s="17" t="s">
        <v>37</v>
      </c>
      <c r="E18" s="28" t="n">
        <v>20</v>
      </c>
      <c r="F18" s="28" t="n">
        <v>0</v>
      </c>
      <c r="G18" s="29" t="n">
        <f aca="false">IFERROR(F18/E18,0)</f>
        <v>0</v>
      </c>
      <c r="H18" s="28"/>
      <c r="I18" s="18"/>
    </row>
    <row r="19" customFormat="false" ht="15" hidden="false" customHeight="false" outlineLevel="0" collapsed="false">
      <c r="A19" s="24" t="s">
        <v>146</v>
      </c>
      <c r="B19" s="10" t="n">
        <v>46162</v>
      </c>
      <c r="C19" s="16" t="s">
        <v>21</v>
      </c>
      <c r="D19" s="12" t="s">
        <v>38</v>
      </c>
      <c r="E19" s="24" t="n">
        <v>16</v>
      </c>
      <c r="F19" s="24" t="n">
        <v>0</v>
      </c>
      <c r="G19" s="25" t="n">
        <f aca="false">IFERROR(F19/E19,0)</f>
        <v>0</v>
      </c>
      <c r="H19" s="24"/>
      <c r="I19" s="13"/>
    </row>
    <row r="20" customFormat="false" ht="15" hidden="false" customHeight="false" outlineLevel="0" collapsed="false">
      <c r="A20" s="28" t="s">
        <v>147</v>
      </c>
      <c r="B20" s="15" t="n">
        <v>46161</v>
      </c>
      <c r="C20" s="20" t="s">
        <v>27</v>
      </c>
      <c r="D20" s="17" t="s">
        <v>39</v>
      </c>
      <c r="E20" s="28" t="n">
        <v>49</v>
      </c>
      <c r="F20" s="28" t="n">
        <v>0</v>
      </c>
      <c r="G20" s="29" t="n">
        <f aca="false">IFERROR(F20/E20,0)</f>
        <v>0</v>
      </c>
      <c r="H20" s="28"/>
      <c r="I20" s="18"/>
    </row>
    <row r="21" customFormat="false" ht="15" hidden="false" customHeight="false" outlineLevel="0" collapsed="false">
      <c r="A21" s="24" t="s">
        <v>148</v>
      </c>
      <c r="B21" s="10" t="n">
        <v>46161</v>
      </c>
      <c r="C21" s="21" t="s">
        <v>29</v>
      </c>
      <c r="D21" s="12" t="s">
        <v>40</v>
      </c>
      <c r="E21" s="24" t="n">
        <v>41</v>
      </c>
      <c r="F21" s="24" t="n">
        <v>0</v>
      </c>
      <c r="G21" s="25" t="n">
        <f aca="false">IFERROR(F21/E21,0)</f>
        <v>0</v>
      </c>
      <c r="H21" s="24"/>
      <c r="I21" s="13"/>
    </row>
    <row r="22" customFormat="false" ht="15" hidden="false" customHeight="false" outlineLevel="0" collapsed="false">
      <c r="A22" s="28" t="s">
        <v>149</v>
      </c>
      <c r="B22" s="15" t="n">
        <v>46161</v>
      </c>
      <c r="C22" s="21" t="s">
        <v>29</v>
      </c>
      <c r="D22" s="17" t="s">
        <v>41</v>
      </c>
      <c r="E22" s="28" t="n">
        <v>41</v>
      </c>
      <c r="F22" s="28" t="n">
        <v>0</v>
      </c>
      <c r="G22" s="29" t="n">
        <f aca="false">IFERROR(F22/E22,0)</f>
        <v>0</v>
      </c>
      <c r="H22" s="28"/>
      <c r="I22" s="18"/>
    </row>
    <row r="23" customFormat="false" ht="15" hidden="false" customHeight="false" outlineLevel="0" collapsed="false">
      <c r="A23" s="24" t="s">
        <v>150</v>
      </c>
      <c r="B23" s="10" t="n">
        <v>46162</v>
      </c>
      <c r="C23" s="20" t="s">
        <v>27</v>
      </c>
      <c r="D23" s="12" t="s">
        <v>42</v>
      </c>
      <c r="E23" s="24" t="n">
        <v>29</v>
      </c>
      <c r="F23" s="24" t="n">
        <v>0</v>
      </c>
      <c r="G23" s="25" t="n">
        <f aca="false">IFERROR(F23/E23,0)</f>
        <v>0</v>
      </c>
      <c r="H23" s="24"/>
      <c r="I23" s="13"/>
    </row>
    <row r="24" customFormat="false" ht="15" hidden="false" customHeight="false" outlineLevel="0" collapsed="false">
      <c r="A24" s="28" t="s">
        <v>151</v>
      </c>
      <c r="B24" s="15" t="n">
        <v>46162</v>
      </c>
      <c r="C24" s="21" t="s">
        <v>29</v>
      </c>
      <c r="D24" s="17" t="s">
        <v>43</v>
      </c>
      <c r="E24" s="28" t="n">
        <v>16</v>
      </c>
      <c r="F24" s="28" t="n">
        <v>0</v>
      </c>
      <c r="G24" s="29" t="n">
        <f aca="false">IFERROR(F24/E24,0)</f>
        <v>0</v>
      </c>
      <c r="H24" s="28"/>
      <c r="I24" s="18"/>
    </row>
    <row r="25" customFormat="false" ht="15" hidden="false" customHeight="false" outlineLevel="0" collapsed="false">
      <c r="A25" s="24" t="s">
        <v>152</v>
      </c>
      <c r="B25" s="10" t="n">
        <v>46164</v>
      </c>
      <c r="C25" s="21" t="s">
        <v>29</v>
      </c>
      <c r="D25" s="12" t="s">
        <v>44</v>
      </c>
      <c r="E25" s="24" t="n">
        <v>0</v>
      </c>
      <c r="F25" s="24" t="n">
        <v>0</v>
      </c>
      <c r="G25" s="25" t="n">
        <f aca="false">IFERROR(F25/E25,0)</f>
        <v>0</v>
      </c>
      <c r="H25" s="24"/>
      <c r="I25" s="13"/>
    </row>
    <row r="26" customFormat="false" ht="15" hidden="false" customHeight="false" outlineLevel="0" collapsed="false">
      <c r="A26" s="28" t="s">
        <v>153</v>
      </c>
      <c r="B26" s="15" t="n">
        <v>46169</v>
      </c>
      <c r="C26" s="16" t="s">
        <v>21</v>
      </c>
      <c r="D26" s="17" t="s">
        <v>45</v>
      </c>
      <c r="E26" s="28" t="n">
        <v>1</v>
      </c>
      <c r="F26" s="28" t="n">
        <v>0</v>
      </c>
      <c r="G26" s="29" t="n">
        <f aca="false">IFERROR(F26/E26,0)</f>
        <v>0</v>
      </c>
      <c r="H26" s="28"/>
      <c r="I26" s="18"/>
    </row>
    <row r="27" customFormat="false" ht="15" hidden="false" customHeight="false" outlineLevel="0" collapsed="false">
      <c r="A27" s="24" t="s">
        <v>154</v>
      </c>
      <c r="B27" s="10" t="n">
        <v>46170</v>
      </c>
      <c r="C27" s="20" t="s">
        <v>27</v>
      </c>
      <c r="D27" s="12" t="s">
        <v>46</v>
      </c>
      <c r="E27" s="24" t="n">
        <v>0</v>
      </c>
      <c r="F27" s="24" t="n">
        <v>0</v>
      </c>
      <c r="G27" s="25" t="n">
        <f aca="false">IFERROR(F27/E27,0)</f>
        <v>0</v>
      </c>
      <c r="H27" s="24"/>
      <c r="I27" s="13"/>
    </row>
    <row r="28" customFormat="false" ht="15" hidden="false" customHeight="false" outlineLevel="0" collapsed="false">
      <c r="A28" s="28" t="s">
        <v>155</v>
      </c>
      <c r="B28" s="15" t="n">
        <v>46170</v>
      </c>
      <c r="C28" s="21" t="s">
        <v>29</v>
      </c>
      <c r="D28" s="17" t="s">
        <v>47</v>
      </c>
      <c r="E28" s="28" t="n">
        <v>1</v>
      </c>
      <c r="F28" s="28" t="n">
        <v>0</v>
      </c>
      <c r="G28" s="29" t="n">
        <f aca="false">IFERROR(F28/E28,0)</f>
        <v>0</v>
      </c>
      <c r="H28" s="28"/>
      <c r="I28" s="18"/>
    </row>
    <row r="29" customFormat="false" ht="15" hidden="false" customHeight="false" outlineLevel="0" collapsed="false">
      <c r="A29" s="24" t="s">
        <v>156</v>
      </c>
      <c r="B29" s="10" t="n">
        <v>46171</v>
      </c>
      <c r="C29" s="21" t="s">
        <v>29</v>
      </c>
      <c r="D29" s="12" t="s">
        <v>48</v>
      </c>
      <c r="E29" s="24" t="n">
        <v>0</v>
      </c>
      <c r="F29" s="24" t="n">
        <v>0</v>
      </c>
      <c r="G29" s="25" t="n">
        <f aca="false">IFERROR(F29/E29,0)</f>
        <v>0</v>
      </c>
      <c r="H29" s="24"/>
      <c r="I29" s="13"/>
    </row>
    <row r="30" customFormat="false" ht="15" hidden="false" customHeight="false" outlineLevel="0" collapsed="false">
      <c r="A30" s="34"/>
      <c r="B30" s="34"/>
      <c r="C30" s="34"/>
      <c r="D30" s="35" t="s">
        <v>157</v>
      </c>
      <c r="E30" s="36" t="n">
        <f aca="false">SUM(E5:E29)</f>
        <v>392</v>
      </c>
      <c r="F30" s="36" t="n">
        <f aca="false">SUM(F5:F29)</f>
        <v>0</v>
      </c>
      <c r="G30" s="37" t="n">
        <f aca="false">IFERROR(F30/E30,0)</f>
        <v>0</v>
      </c>
      <c r="H30" s="34"/>
      <c r="I30" s="34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90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158</v>
      </c>
      <c r="B1" s="1"/>
      <c r="C1" s="1"/>
      <c r="D1" s="1"/>
      <c r="E1" s="1"/>
    </row>
    <row r="2" customFormat="false" ht="18" hidden="false" customHeight="true" outlineLevel="0" collapsed="false">
      <c r="A2" s="2" t="s">
        <v>159</v>
      </c>
      <c r="B2" s="2"/>
      <c r="C2" s="2"/>
      <c r="D2" s="2"/>
      <c r="E2" s="2"/>
    </row>
    <row r="3" customFormat="false" ht="6" hidden="false" customHeight="true" outlineLevel="0" collapsed="false"/>
    <row r="4" customFormat="false" ht="27.75" hidden="false" customHeight="true" outlineLevel="0" collapsed="false">
      <c r="A4" s="9" t="s">
        <v>160</v>
      </c>
      <c r="B4" s="9" t="s">
        <v>161</v>
      </c>
      <c r="C4" s="9" t="s">
        <v>162</v>
      </c>
      <c r="D4" s="9" t="s">
        <v>163</v>
      </c>
      <c r="E4" s="9" t="s">
        <v>164</v>
      </c>
    </row>
    <row r="5" customFormat="false" ht="15" hidden="false" customHeight="false" outlineLevel="0" collapsed="false">
      <c r="A5" s="12" t="s">
        <v>165</v>
      </c>
      <c r="B5" s="12" t="s">
        <v>166</v>
      </c>
      <c r="C5" s="24" t="n">
        <v>17</v>
      </c>
      <c r="D5" s="12" t="s">
        <v>167</v>
      </c>
      <c r="E5" s="38" t="s">
        <v>168</v>
      </c>
    </row>
    <row r="6" customFormat="false" ht="15" hidden="false" customHeight="false" outlineLevel="0" collapsed="false">
      <c r="A6" s="17" t="s">
        <v>169</v>
      </c>
      <c r="B6" s="17" t="s">
        <v>170</v>
      </c>
      <c r="C6" s="28" t="n">
        <v>15</v>
      </c>
      <c r="D6" s="17" t="s">
        <v>171</v>
      </c>
      <c r="E6" s="39" t="s">
        <v>172</v>
      </c>
    </row>
    <row r="7" customFormat="false" ht="15" hidden="false" customHeight="false" outlineLevel="0" collapsed="false">
      <c r="A7" s="12" t="s">
        <v>169</v>
      </c>
      <c r="B7" s="12" t="s">
        <v>173</v>
      </c>
      <c r="C7" s="24" t="n">
        <v>14</v>
      </c>
      <c r="D7" s="12" t="s">
        <v>174</v>
      </c>
      <c r="E7" s="39" t="s">
        <v>172</v>
      </c>
    </row>
    <row r="8" customFormat="false" ht="15" hidden="false" customHeight="false" outlineLevel="0" collapsed="false">
      <c r="A8" s="17" t="s">
        <v>169</v>
      </c>
      <c r="B8" s="17" t="s">
        <v>175</v>
      </c>
      <c r="C8" s="28" t="n">
        <v>2</v>
      </c>
      <c r="D8" s="17" t="s">
        <v>176</v>
      </c>
      <c r="E8" s="39" t="s">
        <v>172</v>
      </c>
    </row>
    <row r="9" customFormat="false" ht="23.85" hidden="false" customHeight="false" outlineLevel="0" collapsed="false">
      <c r="A9" s="12" t="s">
        <v>169</v>
      </c>
      <c r="B9" s="12" t="s">
        <v>177</v>
      </c>
      <c r="C9" s="24" t="n">
        <v>18</v>
      </c>
      <c r="D9" s="12" t="s">
        <v>178</v>
      </c>
      <c r="E9" s="39" t="s">
        <v>172</v>
      </c>
    </row>
    <row r="10" customFormat="false" ht="15" hidden="false" customHeight="false" outlineLevel="0" collapsed="false">
      <c r="A10" s="17" t="s">
        <v>179</v>
      </c>
      <c r="B10" s="17" t="s">
        <v>180</v>
      </c>
      <c r="C10" s="28" t="n">
        <v>13</v>
      </c>
      <c r="D10" s="17" t="s">
        <v>181</v>
      </c>
      <c r="E10" s="40" t="s">
        <v>182</v>
      </c>
    </row>
    <row r="11" customFormat="false" ht="15" hidden="false" customHeight="false" outlineLevel="0" collapsed="false">
      <c r="A11" s="12" t="s">
        <v>179</v>
      </c>
      <c r="B11" s="12" t="s">
        <v>183</v>
      </c>
      <c r="C11" s="24" t="n">
        <v>6</v>
      </c>
      <c r="D11" s="12" t="s">
        <v>184</v>
      </c>
      <c r="E11" s="40" t="s">
        <v>182</v>
      </c>
    </row>
    <row r="12" customFormat="false" ht="15" hidden="false" customHeight="false" outlineLevel="0" collapsed="false">
      <c r="A12" s="17" t="s">
        <v>179</v>
      </c>
      <c r="B12" s="17" t="s">
        <v>185</v>
      </c>
      <c r="C12" s="28" t="n">
        <v>10</v>
      </c>
      <c r="D12" s="17" t="s">
        <v>186</v>
      </c>
      <c r="E12" s="40" t="s">
        <v>182</v>
      </c>
    </row>
    <row r="13" customFormat="false" ht="15" hidden="false" customHeight="false" outlineLevel="0" collapsed="false">
      <c r="A13" s="12" t="s">
        <v>187</v>
      </c>
      <c r="B13" s="12" t="s">
        <v>188</v>
      </c>
      <c r="C13" s="24" t="n">
        <v>4</v>
      </c>
      <c r="D13" s="12" t="s">
        <v>189</v>
      </c>
      <c r="E13" s="41" t="s">
        <v>190</v>
      </c>
    </row>
    <row r="14" customFormat="false" ht="15" hidden="false" customHeight="false" outlineLevel="0" collapsed="false">
      <c r="A14" s="17" t="s">
        <v>187</v>
      </c>
      <c r="B14" s="17" t="s">
        <v>191</v>
      </c>
      <c r="C14" s="28" t="n">
        <v>17</v>
      </c>
      <c r="D14" s="17" t="s">
        <v>192</v>
      </c>
      <c r="E14" s="41" t="s">
        <v>190</v>
      </c>
    </row>
    <row r="15" customFormat="false" ht="15" hidden="false" customHeight="false" outlineLevel="0" collapsed="false">
      <c r="A15" s="12" t="s">
        <v>187</v>
      </c>
      <c r="B15" s="12" t="s">
        <v>193</v>
      </c>
      <c r="C15" s="24" t="n">
        <v>4</v>
      </c>
      <c r="D15" s="12" t="s">
        <v>194</v>
      </c>
      <c r="E15" s="41" t="s">
        <v>190</v>
      </c>
    </row>
    <row r="16" customFormat="false" ht="23.85" hidden="false" customHeight="false" outlineLevel="0" collapsed="false">
      <c r="A16" s="17" t="s">
        <v>187</v>
      </c>
      <c r="B16" s="17" t="s">
        <v>195</v>
      </c>
      <c r="C16" s="28" t="n">
        <v>17</v>
      </c>
      <c r="D16" s="17" t="s">
        <v>196</v>
      </c>
      <c r="E16" s="41" t="s">
        <v>190</v>
      </c>
    </row>
    <row r="17" customFormat="false" ht="15" hidden="false" customHeight="false" outlineLevel="0" collapsed="false">
      <c r="A17" s="12" t="s">
        <v>197</v>
      </c>
      <c r="B17" s="12" t="s">
        <v>198</v>
      </c>
      <c r="C17" s="24" t="n">
        <v>15</v>
      </c>
      <c r="D17" s="12" t="s">
        <v>199</v>
      </c>
      <c r="E17" s="42" t="s">
        <v>200</v>
      </c>
    </row>
    <row r="18" customFormat="false" ht="15" hidden="false" customHeight="false" outlineLevel="0" collapsed="false">
      <c r="A18" s="17" t="s">
        <v>197</v>
      </c>
      <c r="B18" s="17" t="s">
        <v>201</v>
      </c>
      <c r="C18" s="28" t="n">
        <v>10</v>
      </c>
      <c r="D18" s="17" t="s">
        <v>202</v>
      </c>
      <c r="E18" s="42" t="s">
        <v>200</v>
      </c>
    </row>
    <row r="19" customFormat="false" ht="15" hidden="false" customHeight="false" outlineLevel="0" collapsed="false">
      <c r="A19" s="12" t="s">
        <v>197</v>
      </c>
      <c r="B19" s="12" t="s">
        <v>203</v>
      </c>
      <c r="C19" s="24" t="n">
        <v>5</v>
      </c>
      <c r="D19" s="12" t="s">
        <v>204</v>
      </c>
      <c r="E19" s="42" t="s">
        <v>200</v>
      </c>
    </row>
    <row r="20" customFormat="false" ht="15" hidden="false" customHeight="false" outlineLevel="0" collapsed="false">
      <c r="A20" s="17" t="s">
        <v>197</v>
      </c>
      <c r="B20" s="17" t="s">
        <v>205</v>
      </c>
      <c r="C20" s="28" t="n">
        <v>8</v>
      </c>
      <c r="D20" s="17" t="s">
        <v>206</v>
      </c>
      <c r="E20" s="42" t="s">
        <v>200</v>
      </c>
    </row>
    <row r="21" customFormat="false" ht="15" hidden="false" customHeight="false" outlineLevel="0" collapsed="false">
      <c r="A21" s="12" t="s">
        <v>207</v>
      </c>
      <c r="B21" s="12" t="s">
        <v>208</v>
      </c>
      <c r="C21" s="24" t="n">
        <v>7</v>
      </c>
      <c r="D21" s="12" t="s">
        <v>209</v>
      </c>
      <c r="E21" s="43" t="s">
        <v>210</v>
      </c>
    </row>
    <row r="22" customFormat="false" ht="15" hidden="false" customHeight="false" outlineLevel="0" collapsed="false">
      <c r="A22" s="17" t="s">
        <v>207</v>
      </c>
      <c r="B22" s="17" t="s">
        <v>211</v>
      </c>
      <c r="C22" s="28" t="n">
        <v>4</v>
      </c>
      <c r="D22" s="17" t="s">
        <v>212</v>
      </c>
      <c r="E22" s="43" t="s">
        <v>210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2026-04-06T10:30:07Z</dcterms:created>
  <dc:creator>openpyxl</dc:creator>
  <dc:description/>
  <dc:language>en-US</dc:language>
  <cp:lastModifiedBy/>
  <dcterms:modified xsi:type="dcterms:W3CDTF">2026-04-06T10:30:07Z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